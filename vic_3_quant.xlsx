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/>
  <mc:AlternateContent xmlns:mc="http://schemas.openxmlformats.org/markup-compatibility/2006">
    <mc:Choice Requires="x15">
      <x15ac:absPath xmlns:x15ac="http://schemas.microsoft.com/office/spreadsheetml/2010/11/ac" url="C:\Users\Nanfeng.Qin\Desktop\vic3\"/>
    </mc:Choice>
  </mc:AlternateContent>
  <xr:revisionPtr revIDLastSave="0" documentId="13_ncr:1_{281D7E2B-A9DA-4F04-A622-35AC51CE2A90}" xr6:coauthVersionLast="47" xr6:coauthVersionMax="47" xr10:uidLastSave="{00000000-0000-0000-0000-000000000000}"/>
  <bookViews>
    <workbookView xWindow="-110" yWindow="-110" windowWidth="18490" windowHeight="11020" xr2:uid="{00000000-000D-0000-FFFF-FFFF00000000}"/>
  </bookViews>
  <sheets>
    <sheet name="main" sheetId="1" r:id="rId1"/>
  </sheets>
  <definedNames>
    <definedName name="coal_p">main!$B$41</definedName>
    <definedName name="elec_p">main!$B$28</definedName>
    <definedName name="infra_p">main!$H$8</definedName>
    <definedName name="iron_p">main!$B$42</definedName>
    <definedName name="motor_p">main!$B$27</definedName>
    <definedName name="solver_adj" localSheetId="0" hidden="1">main!$H$8,main!$B$27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main!$B$7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  <definedName name="steel_p">main!$B$26</definedName>
    <definedName name="sulfur_p">main!$B$43</definedName>
    <definedName name="tool_p">main!$B$23</definedName>
    <definedName name="trans_p">main!$B$30</definedName>
    <definedName name="wood_p">main!$B$44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" i="1" l="1"/>
  <c r="K33" i="1"/>
  <c r="N8" i="1"/>
  <c r="O8" i="1"/>
  <c r="P8" i="1"/>
  <c r="Q8" i="1"/>
  <c r="R8" i="1"/>
  <c r="S8" i="1"/>
  <c r="T8" i="1"/>
  <c r="U8" i="1"/>
  <c r="M8" i="1"/>
  <c r="S31" i="1"/>
  <c r="O31" i="1"/>
  <c r="N31" i="1"/>
  <c r="N40" i="1"/>
  <c r="M40" i="1"/>
  <c r="L40" i="1"/>
  <c r="K40" i="1"/>
  <c r="D31" i="1" s="1"/>
  <c r="J40" i="1"/>
  <c r="I40" i="1"/>
  <c r="G40" i="1"/>
  <c r="H43" i="1" s="1"/>
  <c r="K24" i="1"/>
  <c r="I24" i="1"/>
  <c r="I22" i="1"/>
  <c r="E22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10" i="1"/>
  <c r="J26" i="1"/>
  <c r="I23" i="1"/>
  <c r="K25" i="1"/>
  <c r="J25" i="1"/>
  <c r="I25" i="1"/>
  <c r="I26" i="1"/>
  <c r="I28" i="1"/>
  <c r="E25" i="1"/>
  <c r="E32" i="1"/>
  <c r="E10" i="1"/>
  <c r="D10" i="1"/>
  <c r="W11" i="1" l="1"/>
  <c r="W34" i="1"/>
  <c r="W26" i="1"/>
  <c r="W18" i="1"/>
  <c r="W17" i="1"/>
  <c r="W32" i="1"/>
  <c r="W24" i="1"/>
  <c r="W16" i="1"/>
  <c r="W25" i="1"/>
  <c r="W31" i="1"/>
  <c r="W23" i="1"/>
  <c r="W15" i="1"/>
  <c r="W30" i="1"/>
  <c r="W22" i="1"/>
  <c r="W14" i="1"/>
  <c r="W33" i="1"/>
  <c r="W29" i="1"/>
  <c r="W21" i="1"/>
  <c r="W13" i="1"/>
  <c r="W28" i="1"/>
  <c r="W20" i="1"/>
  <c r="W12" i="1"/>
  <c r="W10" i="1"/>
  <c r="W27" i="1"/>
  <c r="W19" i="1"/>
  <c r="I43" i="1"/>
  <c r="H44" i="1" s="1"/>
  <c r="L25" i="1"/>
  <c r="X25" i="1" l="1"/>
  <c r="B25" i="1" s="1"/>
  <c r="C25" i="1" s="1"/>
  <c r="C38" i="1" l="1"/>
  <c r="B38" i="1" s="1"/>
  <c r="I10" i="1" s="1"/>
  <c r="C39" i="1"/>
  <c r="B39" i="1" s="1"/>
  <c r="C12" i="1"/>
  <c r="C15" i="1"/>
  <c r="I29" i="1"/>
  <c r="I19" i="1"/>
  <c r="I12" i="1"/>
  <c r="I18" i="1"/>
  <c r="I20" i="1"/>
  <c r="I21" i="1"/>
  <c r="I17" i="1"/>
  <c r="I16" i="1"/>
  <c r="I15" i="1"/>
  <c r="I14" i="1"/>
  <c r="I13" i="1"/>
  <c r="J28" i="1"/>
  <c r="L28" i="1" s="1"/>
  <c r="X28" i="1" s="1"/>
  <c r="B28" i="1" s="1"/>
  <c r="C27" i="1"/>
  <c r="J29" i="1" l="1"/>
  <c r="L29" i="1" s="1"/>
  <c r="X29" i="1" s="1"/>
  <c r="B29" i="1" s="1"/>
  <c r="J27" i="1"/>
  <c r="C28" i="1"/>
  <c r="K26" i="1"/>
  <c r="L26" i="1" s="1"/>
  <c r="X26" i="1" s="1"/>
  <c r="B26" i="1" s="1"/>
  <c r="I30" i="1" l="1"/>
  <c r="L30" i="1" s="1"/>
  <c r="X30" i="1" s="1"/>
  <c r="B30" i="1" s="1"/>
  <c r="I27" i="1" a="1"/>
  <c r="I27" i="1" s="1"/>
  <c r="L27" i="1" s="1"/>
  <c r="X27" i="1" s="1"/>
  <c r="Y27" i="1" s="1"/>
  <c r="B7" i="1" s="1"/>
  <c r="J23" i="1"/>
  <c r="L23" i="1" s="1"/>
  <c r="X23" i="1" s="1"/>
  <c r="B23" i="1" s="1"/>
  <c r="I33" i="1" s="1"/>
  <c r="C26" i="1"/>
  <c r="C23" i="1" l="1"/>
  <c r="J10" i="1"/>
  <c r="L10" i="1" s="1"/>
  <c r="X10" i="1" s="1"/>
  <c r="B10" i="1" s="1"/>
  <c r="I31" i="1" s="1"/>
  <c r="J12" i="1"/>
  <c r="L12" i="1" s="1"/>
  <c r="X12" i="1" s="1"/>
  <c r="J21" i="1"/>
  <c r="L21" i="1" s="1"/>
  <c r="X21" i="1" s="1"/>
  <c r="B21" i="1" s="1"/>
  <c r="C21" i="1" s="1"/>
  <c r="J15" i="1"/>
  <c r="L15" i="1" s="1"/>
  <c r="X15" i="1" s="1"/>
  <c r="J16" i="1"/>
  <c r="L16" i="1" s="1"/>
  <c r="X16" i="1" s="1"/>
  <c r="B16" i="1" s="1"/>
  <c r="C16" i="1" s="1"/>
  <c r="J14" i="1"/>
  <c r="L14" i="1" s="1"/>
  <c r="X14" i="1" s="1"/>
  <c r="B14" i="1" s="1"/>
  <c r="J19" i="1"/>
  <c r="L19" i="1" s="1"/>
  <c r="X19" i="1" s="1"/>
  <c r="B19" i="1" s="1"/>
  <c r="C19" i="1" s="1"/>
  <c r="J20" i="1"/>
  <c r="L20" i="1" s="1"/>
  <c r="X20" i="1" s="1"/>
  <c r="B20" i="1" s="1"/>
  <c r="J17" i="1"/>
  <c r="L17" i="1" s="1"/>
  <c r="X17" i="1" s="1"/>
  <c r="B17" i="1" s="1"/>
  <c r="C17" i="1" s="1"/>
  <c r="J18" i="1"/>
  <c r="L18" i="1" s="1"/>
  <c r="X18" i="1" s="1"/>
  <c r="J13" i="1"/>
  <c r="L13" i="1" s="1"/>
  <c r="X13" i="1" s="1"/>
  <c r="B13" i="1" s="1"/>
  <c r="J33" i="1" s="1"/>
  <c r="L33" i="1" s="1"/>
  <c r="X33" i="1" s="1"/>
  <c r="B33" i="1" s="1"/>
  <c r="C33" i="1" s="1"/>
  <c r="C30" i="1"/>
  <c r="K11" i="1"/>
  <c r="J24" i="1" l="1"/>
  <c r="L24" i="1" s="1"/>
  <c r="X24" i="1" s="1"/>
  <c r="B24" i="1" s="1"/>
  <c r="J32" i="1"/>
  <c r="J22" i="1"/>
  <c r="L22" i="1" s="1"/>
  <c r="X22" i="1" s="1"/>
  <c r="B22" i="1" s="1"/>
  <c r="C22" i="1" s="1"/>
  <c r="C14" i="1"/>
  <c r="C13" i="1"/>
  <c r="J11" i="1"/>
  <c r="I32" i="1"/>
  <c r="I11" i="1"/>
  <c r="C10" i="1"/>
  <c r="C18" i="1" s="1"/>
  <c r="B18" i="1" s="1"/>
  <c r="J31" i="1" s="1"/>
  <c r="L31" i="1" s="1"/>
  <c r="X31" i="1" s="1"/>
  <c r="B31" i="1" s="1"/>
  <c r="C31" i="1" s="1"/>
  <c r="C20" i="1"/>
  <c r="K32" i="1"/>
  <c r="C24" i="1" l="1"/>
  <c r="I34" i="1"/>
  <c r="L34" i="1" s="1"/>
  <c r="X34" i="1" s="1"/>
  <c r="B34" i="1" s="1"/>
  <c r="C34" i="1" s="1"/>
  <c r="L11" i="1"/>
  <c r="X11" i="1" s="1"/>
  <c r="B11" i="1" s="1"/>
  <c r="C11" i="1" s="1"/>
  <c r="L32" i="1"/>
  <c r="X32" i="1" s="1"/>
  <c r="B32" i="1" s="1"/>
  <c r="C32" i="1" s="1"/>
  <c r="C37" i="1" l="1"/>
  <c r="B37" i="1" s="1"/>
  <c r="C36" i="1"/>
  <c r="B3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Nanfeng Qin</author>
  </authors>
  <commentList>
    <comment ref="B7" authorId="0" shapeId="0" xr:uid="{11AF617B-90CD-4DF4-A601-DD9DD1D89D2D}">
      <text>
        <r>
          <rPr>
            <sz val="9"/>
            <color indexed="81"/>
            <rFont val="Tahoma"/>
            <family val="2"/>
          </rPr>
          <t xml:space="preserve">Use solver to minimize the loss, by changing the green cells. 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<sst xmlns="http://schemas.openxmlformats.org/spreadsheetml/2006/main" count="77" uniqueCount="72">
  <si>
    <t>咖啡</t>
  </si>
  <si>
    <t>棉花</t>
  </si>
  <si>
    <t>染料</t>
  </si>
  <si>
    <t>鸦片</t>
  </si>
  <si>
    <t>茶叶</t>
  </si>
  <si>
    <t>烟草</t>
  </si>
  <si>
    <t>糖料</t>
  </si>
  <si>
    <t>香蕉</t>
  </si>
  <si>
    <t>丝绸</t>
  </si>
  <si>
    <t>橡胶</t>
  </si>
  <si>
    <t>base price</t>
  </si>
  <si>
    <t xml:space="preserve">infra. </t>
  </si>
  <si>
    <t>input 0</t>
  </si>
  <si>
    <t>input 1</t>
  </si>
  <si>
    <t>职员</t>
  </si>
  <si>
    <t>劳工</t>
  </si>
  <si>
    <t>技工</t>
  </si>
  <si>
    <t>农民</t>
  </si>
  <si>
    <t>贵族</t>
  </si>
  <si>
    <t>工程</t>
  </si>
  <si>
    <t>店主</t>
  </si>
  <si>
    <t>教士</t>
  </si>
  <si>
    <t>资本</t>
  </si>
  <si>
    <t>wages</t>
  </si>
  <si>
    <t>食品</t>
  </si>
  <si>
    <t>output</t>
  </si>
  <si>
    <t>纺织</t>
  </si>
  <si>
    <t>家具</t>
  </si>
  <si>
    <t>玻璃</t>
  </si>
  <si>
    <t>工具</t>
  </si>
  <si>
    <t>造纸</t>
  </si>
  <si>
    <t>化工</t>
  </si>
  <si>
    <t>炼钢</t>
  </si>
  <si>
    <t>艺术</t>
  </si>
  <si>
    <t>发电</t>
  </si>
  <si>
    <t>衣物</t>
  </si>
  <si>
    <t>高衣</t>
  </si>
  <si>
    <t>throughput</t>
  </si>
  <si>
    <t>动力</t>
  </si>
  <si>
    <t>input 2</t>
  </si>
  <si>
    <t>equi. price</t>
  </si>
  <si>
    <t>COGS</t>
  </si>
  <si>
    <t>total cost</t>
  </si>
  <si>
    <t>infra. Cost</t>
  </si>
  <si>
    <t>equi. P%</t>
  </si>
  <si>
    <t>水稻</t>
  </si>
  <si>
    <t>化肥</t>
  </si>
  <si>
    <t>炸药</t>
  </si>
  <si>
    <t>畜牧</t>
  </si>
  <si>
    <t>煤</t>
  </si>
  <si>
    <t>铁</t>
  </si>
  <si>
    <t>硫</t>
  </si>
  <si>
    <t>木</t>
  </si>
  <si>
    <t>运力</t>
  </si>
  <si>
    <t>infra</t>
  </si>
  <si>
    <t>N/A</t>
  </si>
  <si>
    <t>infra. waste</t>
  </si>
  <si>
    <t>calced eq. price</t>
  </si>
  <si>
    <t>食品厂</t>
  </si>
  <si>
    <t>m1</t>
  </si>
  <si>
    <t>谷物</t>
  </si>
  <si>
    <t>糖</t>
  </si>
  <si>
    <t>m2</t>
  </si>
  <si>
    <t>weight</t>
  </si>
  <si>
    <t>loss</t>
  </si>
  <si>
    <t>losses</t>
  </si>
  <si>
    <t>ratio</t>
  </si>
  <si>
    <t>total</t>
  </si>
  <si>
    <t>combi</t>
  </si>
  <si>
    <t>base wages</t>
  </si>
  <si>
    <t>mult.</t>
  </si>
  <si>
    <t>学者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</si>
</sst>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E+00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-0.499984740745262"/>
        <bgColor indexed="64"/>
      </patternFill>
    </fill>
  </fills>
  <borders count="18">
    <border>
      <left/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ck">
        <color theme="0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ck">
        <color theme="0"/>
      </left>
      <right/>
      <top style="thick">
        <color theme="0"/>
      </top>
      <bottom style="thin">
        <color theme="1" tint="0.34998626667073579"/>
      </bottom>
      <diagonal/>
    </border>
    <border>
      <left/>
      <right/>
      <top style="thick">
        <color theme="0"/>
      </top>
      <bottom style="thin">
        <color theme="1" tint="0.34998626667073579"/>
      </bottom>
      <diagonal/>
    </border>
    <border>
      <left/>
      <right style="thick">
        <color theme="0"/>
      </right>
      <top style="thick">
        <color theme="0"/>
      </top>
      <bottom style="thin">
        <color theme="1" tint="0.34998626667073579"/>
      </bottom>
      <diagonal/>
    </border>
    <border>
      <left style="thick">
        <color theme="0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ck">
        <color theme="0"/>
      </right>
      <top style="thin">
        <color theme="1" tint="0.34998626667073579"/>
      </top>
      <bottom style="thin">
        <color theme="1" tint="0.34998626667073579"/>
      </bottom>
      <diagonal/>
    </border>
    <border>
      <left style="thick">
        <color theme="0"/>
      </left>
      <right style="thin">
        <color theme="1" tint="0.34998626667073579"/>
      </right>
      <top style="thin">
        <color theme="1" tint="0.34998626667073579"/>
      </top>
      <bottom style="thick">
        <color theme="0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ck">
        <color theme="0"/>
      </bottom>
      <diagonal/>
    </border>
    <border>
      <left style="thin">
        <color theme="1" tint="0.34998626667073579"/>
      </left>
      <right style="thick">
        <color theme="0"/>
      </right>
      <top style="thin">
        <color theme="1" tint="0.34998626667073579"/>
      </top>
      <bottom style="thick">
        <color theme="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2" xfId="0" applyFont="1" applyFill="1" applyBorder="1"/>
    <xf numFmtId="0" fontId="1" fillId="2" borderId="1" xfId="0" applyFont="1" applyFill="1" applyBorder="1"/>
    <xf numFmtId="1" fontId="1" fillId="2" borderId="1" xfId="0" applyNumberFormat="1" applyFont="1" applyFill="1" applyBorder="1"/>
    <xf numFmtId="0" fontId="1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 wrapText="1"/>
    </xf>
    <xf numFmtId="1" fontId="1" fillId="2" borderId="1" xfId="0" applyNumberFormat="1" applyFont="1" applyFill="1" applyBorder="1" applyAlignment="1">
      <alignment wrapText="1"/>
    </xf>
    <xf numFmtId="0" fontId="1" fillId="2" borderId="3" xfId="0" applyFont="1" applyFill="1" applyBorder="1"/>
    <xf numFmtId="0" fontId="1" fillId="2" borderId="4" xfId="0" applyFont="1" applyFill="1" applyBorder="1"/>
    <xf numFmtId="0" fontId="1" fillId="2" borderId="5" xfId="0" applyFont="1" applyFill="1" applyBorder="1"/>
    <xf numFmtId="1" fontId="1" fillId="2" borderId="0" xfId="0" applyNumberFormat="1" applyFont="1" applyFill="1" applyBorder="1"/>
    <xf numFmtId="9" fontId="1" fillId="2" borderId="1" xfId="0" applyNumberFormat="1" applyFont="1" applyFill="1" applyBorder="1"/>
    <xf numFmtId="1" fontId="1" fillId="3" borderId="1" xfId="0" applyNumberFormat="1" applyFont="1" applyFill="1" applyBorder="1"/>
    <xf numFmtId="1" fontId="1" fillId="2" borderId="3" xfId="0" applyNumberFormat="1" applyFont="1" applyFill="1" applyBorder="1"/>
    <xf numFmtId="1" fontId="1" fillId="2" borderId="5" xfId="0" applyNumberFormat="1" applyFont="1" applyFill="1" applyBorder="1"/>
    <xf numFmtId="0" fontId="1" fillId="2" borderId="0" xfId="0" applyFont="1" applyFill="1" applyBorder="1" applyAlignment="1">
      <alignment wrapText="1"/>
    </xf>
    <xf numFmtId="0" fontId="1" fillId="2" borderId="0" xfId="0" applyFont="1" applyFill="1" applyBorder="1" applyAlignment="1">
      <alignment horizontal="center" wrapText="1"/>
    </xf>
    <xf numFmtId="1" fontId="1" fillId="4" borderId="1" xfId="0" applyNumberFormat="1" applyFont="1" applyFill="1" applyBorder="1"/>
    <xf numFmtId="9" fontId="1" fillId="4" borderId="1" xfId="0" applyNumberFormat="1" applyFont="1" applyFill="1" applyBorder="1"/>
    <xf numFmtId="1" fontId="1" fillId="2" borderId="0" xfId="0" applyNumberFormat="1" applyFont="1" applyFill="1" applyBorder="1" applyAlignment="1">
      <alignment wrapText="1"/>
    </xf>
    <xf numFmtId="0" fontId="1" fillId="2" borderId="6" xfId="0" applyFont="1" applyFill="1" applyBorder="1"/>
    <xf numFmtId="1" fontId="1" fillId="2" borderId="6" xfId="0" applyNumberFormat="1" applyFont="1" applyFill="1" applyBorder="1"/>
    <xf numFmtId="2" fontId="1" fillId="2" borderId="1" xfId="0" applyNumberFormat="1" applyFont="1" applyFill="1" applyBorder="1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1" fontId="1" fillId="5" borderId="1" xfId="0" applyNumberFormat="1" applyFont="1" applyFill="1" applyBorder="1"/>
    <xf numFmtId="165" fontId="1" fillId="2" borderId="1" xfId="0" applyNumberFormat="1" applyFont="1" applyFill="1" applyBorder="1"/>
    <xf numFmtId="0" fontId="1" fillId="2" borderId="7" xfId="0" applyFont="1" applyFill="1" applyBorder="1"/>
    <xf numFmtId="0" fontId="1" fillId="2" borderId="8" xfId="0" applyFont="1" applyFill="1" applyBorder="1"/>
    <xf numFmtId="0" fontId="1" fillId="2" borderId="9" xfId="0" applyFont="1" applyFill="1" applyBorder="1"/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/>
    <xf numFmtId="0" fontId="1" fillId="2" borderId="14" xfId="0" applyFont="1" applyFill="1" applyBorder="1"/>
    <xf numFmtId="1" fontId="1" fillId="2" borderId="14" xfId="0" applyNumberFormat="1" applyFont="1" applyFill="1" applyBorder="1"/>
    <xf numFmtId="0" fontId="1" fillId="2" borderId="15" xfId="0" applyFont="1" applyFill="1" applyBorder="1"/>
    <xf numFmtId="165" fontId="1" fillId="2" borderId="16" xfId="0" applyNumberFormat="1" applyFont="1" applyFill="1" applyBorder="1"/>
    <xf numFmtId="0" fontId="1" fillId="2" borderId="16" xfId="0" applyFont="1" applyFill="1" applyBorder="1"/>
    <xf numFmtId="0" fontId="1" fillId="2" borderId="17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5"/>
  <sheetViews>
    <sheetView tabSelected="1" zoomScale="144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F22" sqref="F22"/>
    </sheetView>
  </sheetViews>
  <sheetFormatPr defaultRowHeight="14.5" x14ac:dyDescent="0.35"/>
  <cols>
    <col min="1" max="1" width="4.81640625" style="2" bestFit="1" customWidth="1"/>
    <col min="2" max="2" width="5" style="3" bestFit="1" customWidth="1"/>
    <col min="3" max="3" width="5" style="2" customWidth="1"/>
    <col min="4" max="4" width="6.453125" style="2" bestFit="1" customWidth="1"/>
    <col min="5" max="5" width="4.90625" style="2" bestFit="1" customWidth="1"/>
    <col min="6" max="6" width="5.6328125" style="2" customWidth="1"/>
    <col min="7" max="7" width="5.26953125" style="2" bestFit="1" customWidth="1"/>
    <col min="8" max="8" width="6" style="2" bestFit="1" customWidth="1"/>
    <col min="9" max="10" width="6.6328125" style="2" bestFit="1" customWidth="1"/>
    <col min="11" max="11" width="6.6328125" style="2" customWidth="1"/>
    <col min="12" max="12" width="5.81640625" style="2" bestFit="1" customWidth="1"/>
    <col min="13" max="21" width="4.81640625" style="2" bestFit="1" customWidth="1"/>
    <col min="22" max="22" width="4.81640625" style="2" customWidth="1"/>
    <col min="23" max="23" width="6" style="2" bestFit="1" customWidth="1"/>
    <col min="24" max="24" width="5.81640625" style="2" bestFit="1" customWidth="1"/>
    <col min="25" max="25" width="8" style="3" bestFit="1" customWidth="1"/>
    <col min="26" max="16384" width="8.7265625" style="2"/>
  </cols>
  <sheetData>
    <row r="1" spans="1:25" hidden="1" x14ac:dyDescent="0.35"/>
    <row r="2" spans="1:25" hidden="1" x14ac:dyDescent="0.35"/>
    <row r="3" spans="1:25" hidden="1" x14ac:dyDescent="0.35"/>
    <row r="4" spans="1:25" hidden="1" x14ac:dyDescent="0.35"/>
    <row r="5" spans="1:25" hidden="1" x14ac:dyDescent="0.35"/>
    <row r="6" spans="1:25" hidden="1" x14ac:dyDescent="0.35"/>
    <row r="7" spans="1:25" x14ac:dyDescent="0.35">
      <c r="A7" s="2" t="s">
        <v>64</v>
      </c>
      <c r="B7" s="23">
        <f>(infra_p-B29)^2+(motor_p-Y27)^2</f>
        <v>2.7763729494440424E-16</v>
      </c>
      <c r="F7" s="24" t="s">
        <v>56</v>
      </c>
      <c r="G7" s="25"/>
      <c r="H7" s="2">
        <v>1.1499999999999999</v>
      </c>
      <c r="K7" s="24" t="s">
        <v>69</v>
      </c>
      <c r="L7" s="25"/>
      <c r="M7" s="4">
        <v>33</v>
      </c>
      <c r="N7" s="4">
        <v>10</v>
      </c>
      <c r="O7" s="4">
        <v>16</v>
      </c>
      <c r="P7" s="4">
        <v>17</v>
      </c>
      <c r="Q7" s="4">
        <v>63</v>
      </c>
      <c r="R7" s="4">
        <v>6.8</v>
      </c>
      <c r="S7" s="4">
        <v>30</v>
      </c>
      <c r="T7" s="4">
        <v>12</v>
      </c>
      <c r="U7" s="4">
        <v>60</v>
      </c>
      <c r="V7" s="4">
        <v>30</v>
      </c>
    </row>
    <row r="8" spans="1:25" x14ac:dyDescent="0.35">
      <c r="H8" s="26">
        <v>92.586858433782822</v>
      </c>
      <c r="K8" s="2" t="s">
        <v>70</v>
      </c>
      <c r="L8" s="4">
        <v>1</v>
      </c>
      <c r="M8" s="17">
        <f>M7*$L$8</f>
        <v>33</v>
      </c>
      <c r="N8" s="17">
        <f t="shared" ref="N8:V8" si="0">N7*$L$8</f>
        <v>10</v>
      </c>
      <c r="O8" s="17">
        <f t="shared" si="0"/>
        <v>16</v>
      </c>
      <c r="P8" s="17">
        <f t="shared" si="0"/>
        <v>17</v>
      </c>
      <c r="Q8" s="17">
        <f t="shared" si="0"/>
        <v>63</v>
      </c>
      <c r="R8" s="17">
        <f t="shared" si="0"/>
        <v>6.8</v>
      </c>
      <c r="S8" s="17">
        <f t="shared" si="0"/>
        <v>30</v>
      </c>
      <c r="T8" s="17">
        <f t="shared" si="0"/>
        <v>12</v>
      </c>
      <c r="U8" s="17">
        <f t="shared" si="0"/>
        <v>60</v>
      </c>
      <c r="V8" s="17">
        <f t="shared" si="0"/>
        <v>30</v>
      </c>
    </row>
    <row r="9" spans="1:25" s="5" customFormat="1" ht="29" x14ac:dyDescent="0.35">
      <c r="B9" s="7" t="s">
        <v>40</v>
      </c>
      <c r="C9" s="5" t="s">
        <v>44</v>
      </c>
      <c r="D9" s="5" t="s">
        <v>25</v>
      </c>
      <c r="E9" s="5" t="s">
        <v>10</v>
      </c>
      <c r="F9" s="5" t="s">
        <v>37</v>
      </c>
      <c r="G9" s="5" t="s">
        <v>11</v>
      </c>
      <c r="H9" s="7" t="s">
        <v>43</v>
      </c>
      <c r="I9" s="5" t="s">
        <v>12</v>
      </c>
      <c r="J9" s="5" t="s">
        <v>13</v>
      </c>
      <c r="K9" s="5" t="s">
        <v>39</v>
      </c>
      <c r="L9" s="5" t="s">
        <v>41</v>
      </c>
      <c r="M9" s="6" t="s">
        <v>21</v>
      </c>
      <c r="N9" s="6" t="s">
        <v>15</v>
      </c>
      <c r="O9" s="6" t="s">
        <v>16</v>
      </c>
      <c r="P9" s="6" t="s">
        <v>17</v>
      </c>
      <c r="Q9" s="6" t="s">
        <v>18</v>
      </c>
      <c r="R9" s="6" t="s">
        <v>14</v>
      </c>
      <c r="S9" s="6" t="s">
        <v>19</v>
      </c>
      <c r="T9" s="6" t="s">
        <v>20</v>
      </c>
      <c r="U9" s="6" t="s">
        <v>22</v>
      </c>
      <c r="V9" s="6" t="s">
        <v>71</v>
      </c>
      <c r="W9" s="2" t="s">
        <v>23</v>
      </c>
      <c r="X9" s="5" t="s">
        <v>42</v>
      </c>
      <c r="Y9" s="7" t="s">
        <v>57</v>
      </c>
    </row>
    <row r="10" spans="1:25" s="5" customFormat="1" x14ac:dyDescent="0.35">
      <c r="A10" s="5" t="s">
        <v>45</v>
      </c>
      <c r="B10" s="3">
        <f>X10/(D10*F10)</f>
        <v>17.730840043758541</v>
      </c>
      <c r="C10" s="12">
        <f>B10/E10-1</f>
        <v>-0.2990133005955925</v>
      </c>
      <c r="D10" s="5">
        <f>100-15</f>
        <v>85</v>
      </c>
      <c r="E10" s="7">
        <f>(20*85+E19*6+E18*9)/85</f>
        <v>25.294117647058822</v>
      </c>
      <c r="F10" s="5">
        <v>1.55</v>
      </c>
      <c r="G10" s="5">
        <v>1</v>
      </c>
      <c r="H10" s="3">
        <f>G10*$H$8*$H$7</f>
        <v>106.47488719885024</v>
      </c>
      <c r="I10" s="7">
        <f>20*B38</f>
        <v>613.48169873341908</v>
      </c>
      <c r="J10" s="7">
        <f>1*B23</f>
        <v>39.586427885061589</v>
      </c>
      <c r="K10" s="20"/>
      <c r="L10" s="11">
        <f>SUM(I10:K10)*F10</f>
        <v>1012.255596258645</v>
      </c>
      <c r="M10" s="16">
        <v>200</v>
      </c>
      <c r="N10" s="16">
        <v>3000</v>
      </c>
      <c r="O10" s="16"/>
      <c r="P10" s="16">
        <v>1200</v>
      </c>
      <c r="Q10" s="16">
        <v>100</v>
      </c>
      <c r="W10" s="2">
        <f>SUMPRODUCT($M$8:$V$8,M10:V10)/52</f>
        <v>1217.3076923076924</v>
      </c>
      <c r="X10" s="3">
        <f>H10+L10+W10</f>
        <v>2336.0381757651876</v>
      </c>
      <c r="Y10" s="7"/>
    </row>
    <row r="11" spans="1:25" s="5" customFormat="1" x14ac:dyDescent="0.35">
      <c r="A11" s="5" t="s">
        <v>48</v>
      </c>
      <c r="B11" s="3">
        <f>X11/(D11*F11)</f>
        <v>30.523553877701904</v>
      </c>
      <c r="C11" s="12">
        <f>B11/E11-1</f>
        <v>1.7451795923396851E-2</v>
      </c>
      <c r="D11" s="5">
        <v>25</v>
      </c>
      <c r="E11" s="7">
        <v>30</v>
      </c>
      <c r="F11" s="5">
        <v>1.55</v>
      </c>
      <c r="G11" s="5">
        <v>1</v>
      </c>
      <c r="H11" s="3">
        <f t="shared" ref="H11:H34" si="1">G11*$H$8*$H$7</f>
        <v>106.47488719885024</v>
      </c>
      <c r="I11" s="7">
        <f>10*B10+10*B23</f>
        <v>573.17267928820138</v>
      </c>
      <c r="J11" s="7">
        <f>-40*B13-10*B38</f>
        <v>-740.36629447487076</v>
      </c>
      <c r="K11" s="20">
        <f>3*iron_p+7*B28+3*B30</f>
        <v>489.38054979248977</v>
      </c>
      <c r="L11" s="11">
        <f>SUM(I11:K11)*F11</f>
        <v>499.3897486390216</v>
      </c>
      <c r="M11" s="16">
        <v>100</v>
      </c>
      <c r="N11" s="16">
        <v>0</v>
      </c>
      <c r="O11" s="16"/>
      <c r="P11" s="16">
        <v>1200</v>
      </c>
      <c r="Q11" s="16">
        <v>100</v>
      </c>
      <c r="W11" s="2">
        <f t="shared" ref="W11:W34" si="2">SUMPRODUCT($M$8:$V$8,M11:V11)/52</f>
        <v>576.92307692307691</v>
      </c>
      <c r="X11" s="3">
        <f>H11+L11+W11</f>
        <v>1182.7877127609488</v>
      </c>
      <c r="Y11" s="7"/>
    </row>
    <row r="12" spans="1:25" x14ac:dyDescent="0.35">
      <c r="A12" s="2" t="s">
        <v>0</v>
      </c>
      <c r="B12" s="13">
        <v>70</v>
      </c>
      <c r="C12" s="12">
        <f>B12/E12-1</f>
        <v>0.39999999999999991</v>
      </c>
      <c r="D12" s="2">
        <v>40</v>
      </c>
      <c r="E12" s="3">
        <v>50</v>
      </c>
      <c r="F12" s="5">
        <v>1.55</v>
      </c>
      <c r="G12" s="2">
        <v>1</v>
      </c>
      <c r="H12" s="3">
        <f t="shared" si="1"/>
        <v>106.47488719885024</v>
      </c>
      <c r="I12" s="3">
        <f>5*$B$27</f>
        <v>298.9679264205746</v>
      </c>
      <c r="J12" s="3">
        <f>5*$B$30</f>
        <v>106.28485158123621</v>
      </c>
      <c r="K12" s="11"/>
      <c r="L12" s="11">
        <f>SUM(I12:K12)*F12</f>
        <v>628.14180590280682</v>
      </c>
      <c r="M12" s="1">
        <v>100</v>
      </c>
      <c r="N12" s="1">
        <v>2000</v>
      </c>
      <c r="O12" s="1">
        <v>500</v>
      </c>
      <c r="P12" s="1">
        <v>1200</v>
      </c>
      <c r="Q12" s="1">
        <v>100</v>
      </c>
      <c r="W12" s="2">
        <f t="shared" si="2"/>
        <v>1115.3846153846155</v>
      </c>
      <c r="X12" s="3">
        <f>H12+L12+W12</f>
        <v>1850.0013084862726</v>
      </c>
    </row>
    <row r="13" spans="1:25" x14ac:dyDescent="0.35">
      <c r="A13" s="2" t="s">
        <v>1</v>
      </c>
      <c r="B13" s="3">
        <f t="shared" ref="B13:B34" si="3">X13/(D13*F13)</f>
        <v>10.840636127704029</v>
      </c>
      <c r="C13" s="12">
        <f t="shared" ref="C13:C34" si="4">B13/E13-1</f>
        <v>-0.45796819361479857</v>
      </c>
      <c r="D13" s="2">
        <v>100</v>
      </c>
      <c r="E13" s="3">
        <v>20</v>
      </c>
      <c r="F13" s="2">
        <v>1.8</v>
      </c>
      <c r="G13" s="2">
        <v>1</v>
      </c>
      <c r="H13" s="3">
        <f t="shared" si="1"/>
        <v>106.47488719885024</v>
      </c>
      <c r="I13" s="3">
        <f>5*$B$27</f>
        <v>298.9679264205746</v>
      </c>
      <c r="J13" s="3">
        <f t="shared" ref="J13:J21" si="5">5*$B$30</f>
        <v>106.28485158123621</v>
      </c>
      <c r="K13" s="11"/>
      <c r="L13" s="11">
        <f t="shared" ref="L13:L34" si="6">SUM(I13:K13)*F13</f>
        <v>729.45500040325953</v>
      </c>
      <c r="M13" s="1">
        <v>100</v>
      </c>
      <c r="N13" s="1">
        <v>2000</v>
      </c>
      <c r="O13" s="1">
        <v>500</v>
      </c>
      <c r="P13" s="1">
        <v>1200</v>
      </c>
      <c r="Q13" s="1">
        <v>100</v>
      </c>
      <c r="W13" s="2">
        <f t="shared" si="2"/>
        <v>1115.3846153846155</v>
      </c>
      <c r="X13" s="3">
        <f t="shared" ref="X13:X34" si="7">H13+L13+W13</f>
        <v>1951.3145029867253</v>
      </c>
    </row>
    <row r="14" spans="1:25" x14ac:dyDescent="0.35">
      <c r="A14" s="2" t="s">
        <v>2</v>
      </c>
      <c r="B14" s="3">
        <f t="shared" si="3"/>
        <v>23.870984625629323</v>
      </c>
      <c r="C14" s="12">
        <f t="shared" si="4"/>
        <v>-0.40322538435926691</v>
      </c>
      <c r="D14" s="2">
        <v>50</v>
      </c>
      <c r="E14" s="3">
        <v>40</v>
      </c>
      <c r="F14" s="2">
        <v>1.55</v>
      </c>
      <c r="G14" s="2">
        <v>1</v>
      </c>
      <c r="H14" s="3">
        <f t="shared" si="1"/>
        <v>106.47488719885024</v>
      </c>
      <c r="I14" s="3">
        <f>5*$B$27</f>
        <v>298.9679264205746</v>
      </c>
      <c r="J14" s="3">
        <f t="shared" si="5"/>
        <v>106.28485158123621</v>
      </c>
      <c r="K14" s="11"/>
      <c r="L14" s="11">
        <f t="shared" si="6"/>
        <v>628.14180590280682</v>
      </c>
      <c r="M14" s="1">
        <v>100</v>
      </c>
      <c r="N14" s="1">
        <v>2000</v>
      </c>
      <c r="O14" s="1">
        <v>500</v>
      </c>
      <c r="P14" s="1">
        <v>1200</v>
      </c>
      <c r="Q14" s="1">
        <v>100</v>
      </c>
      <c r="W14" s="2">
        <f t="shared" si="2"/>
        <v>1115.3846153846155</v>
      </c>
      <c r="X14" s="3">
        <f t="shared" si="7"/>
        <v>1850.0013084862726</v>
      </c>
    </row>
    <row r="15" spans="1:25" x14ac:dyDescent="0.35">
      <c r="A15" s="2" t="s">
        <v>3</v>
      </c>
      <c r="B15" s="13">
        <v>53</v>
      </c>
      <c r="C15" s="12">
        <f t="shared" si="4"/>
        <v>6.0000000000000053E-2</v>
      </c>
      <c r="D15" s="2">
        <v>50</v>
      </c>
      <c r="E15" s="3">
        <v>50</v>
      </c>
      <c r="F15" s="2">
        <v>1.55</v>
      </c>
      <c r="G15" s="2">
        <v>1</v>
      </c>
      <c r="H15" s="3">
        <f t="shared" si="1"/>
        <v>106.47488719885024</v>
      </c>
      <c r="I15" s="3">
        <f>5*$B$27</f>
        <v>298.9679264205746</v>
      </c>
      <c r="J15" s="3">
        <f t="shared" si="5"/>
        <v>106.28485158123621</v>
      </c>
      <c r="K15" s="11"/>
      <c r="L15" s="11">
        <f t="shared" si="6"/>
        <v>628.14180590280682</v>
      </c>
      <c r="M15" s="1">
        <v>100</v>
      </c>
      <c r="N15" s="1">
        <v>2000</v>
      </c>
      <c r="O15" s="1">
        <v>500</v>
      </c>
      <c r="P15" s="1">
        <v>1200</v>
      </c>
      <c r="Q15" s="1">
        <v>100</v>
      </c>
      <c r="W15" s="2">
        <f t="shared" si="2"/>
        <v>1115.3846153846155</v>
      </c>
      <c r="X15" s="3">
        <f t="shared" si="7"/>
        <v>1850.0013084862726</v>
      </c>
    </row>
    <row r="16" spans="1:25" x14ac:dyDescent="0.35">
      <c r="A16" s="2" t="s">
        <v>4</v>
      </c>
      <c r="B16" s="3">
        <f t="shared" si="3"/>
        <v>29.838730782036656</v>
      </c>
      <c r="C16" s="12">
        <f t="shared" si="4"/>
        <v>-0.40322538435926691</v>
      </c>
      <c r="D16" s="2">
        <v>40</v>
      </c>
      <c r="E16" s="3">
        <v>50</v>
      </c>
      <c r="F16" s="2">
        <v>1.55</v>
      </c>
      <c r="G16" s="2">
        <v>1</v>
      </c>
      <c r="H16" s="3">
        <f t="shared" si="1"/>
        <v>106.47488719885024</v>
      </c>
      <c r="I16" s="3">
        <f>5*$B$27</f>
        <v>298.9679264205746</v>
      </c>
      <c r="J16" s="3">
        <f t="shared" si="5"/>
        <v>106.28485158123621</v>
      </c>
      <c r="K16" s="11"/>
      <c r="L16" s="11">
        <f t="shared" si="6"/>
        <v>628.14180590280682</v>
      </c>
      <c r="M16" s="1">
        <v>100</v>
      </c>
      <c r="N16" s="1">
        <v>2000</v>
      </c>
      <c r="O16" s="1">
        <v>500</v>
      </c>
      <c r="P16" s="1">
        <v>1200</v>
      </c>
      <c r="Q16" s="1">
        <v>100</v>
      </c>
      <c r="W16" s="2">
        <f t="shared" si="2"/>
        <v>1115.3846153846155</v>
      </c>
      <c r="X16" s="3">
        <f t="shared" si="7"/>
        <v>1850.0013084862726</v>
      </c>
    </row>
    <row r="17" spans="1:25" x14ac:dyDescent="0.35">
      <c r="A17" s="2" t="s">
        <v>5</v>
      </c>
      <c r="B17" s="3">
        <f t="shared" si="3"/>
        <v>23.870984625629323</v>
      </c>
      <c r="C17" s="12">
        <f t="shared" si="4"/>
        <v>-0.40322538435926691</v>
      </c>
      <c r="D17" s="2">
        <v>50</v>
      </c>
      <c r="E17" s="3">
        <v>40</v>
      </c>
      <c r="F17" s="2">
        <v>1.55</v>
      </c>
      <c r="G17" s="2">
        <v>1</v>
      </c>
      <c r="H17" s="3">
        <f t="shared" si="1"/>
        <v>106.47488719885024</v>
      </c>
      <c r="I17" s="3">
        <f>5*$B$27</f>
        <v>298.9679264205746</v>
      </c>
      <c r="J17" s="3">
        <f t="shared" si="5"/>
        <v>106.28485158123621</v>
      </c>
      <c r="K17" s="11"/>
      <c r="L17" s="11">
        <f t="shared" si="6"/>
        <v>628.14180590280682</v>
      </c>
      <c r="M17" s="1">
        <v>100</v>
      </c>
      <c r="N17" s="1">
        <v>2000</v>
      </c>
      <c r="O17" s="1">
        <v>500</v>
      </c>
      <c r="P17" s="1">
        <v>1200</v>
      </c>
      <c r="Q17" s="1">
        <v>100</v>
      </c>
      <c r="W17" s="2">
        <f t="shared" si="2"/>
        <v>1115.3846153846155</v>
      </c>
      <c r="X17" s="3">
        <f t="shared" si="7"/>
        <v>1850.0013084862726</v>
      </c>
    </row>
    <row r="18" spans="1:25" x14ac:dyDescent="0.35">
      <c r="A18" s="2" t="s">
        <v>6</v>
      </c>
      <c r="B18" s="18">
        <f>E18*(1+C18)</f>
        <v>21.029600982132227</v>
      </c>
      <c r="C18" s="19">
        <f>C10</f>
        <v>-0.2990133005955925</v>
      </c>
      <c r="D18" s="2">
        <v>60</v>
      </c>
      <c r="E18" s="3">
        <v>30</v>
      </c>
      <c r="F18" s="2">
        <v>1.55</v>
      </c>
      <c r="G18" s="2">
        <v>1</v>
      </c>
      <c r="H18" s="3">
        <f t="shared" si="1"/>
        <v>106.47488719885024</v>
      </c>
      <c r="I18" s="3">
        <f>5*$B$27</f>
        <v>298.9679264205746</v>
      </c>
      <c r="J18" s="3">
        <f t="shared" si="5"/>
        <v>106.28485158123621</v>
      </c>
      <c r="K18" s="11"/>
      <c r="L18" s="11">
        <f t="shared" si="6"/>
        <v>628.14180590280682</v>
      </c>
      <c r="M18" s="1">
        <v>100</v>
      </c>
      <c r="N18" s="1">
        <v>2000</v>
      </c>
      <c r="O18" s="1">
        <v>500</v>
      </c>
      <c r="P18" s="1">
        <v>1200</v>
      </c>
      <c r="Q18" s="1">
        <v>100</v>
      </c>
      <c r="W18" s="2">
        <f t="shared" si="2"/>
        <v>1115.3846153846155</v>
      </c>
      <c r="X18" s="3">
        <f t="shared" si="7"/>
        <v>1850.0013084862726</v>
      </c>
    </row>
    <row r="19" spans="1:25" x14ac:dyDescent="0.35">
      <c r="A19" s="2" t="s">
        <v>7</v>
      </c>
      <c r="B19" s="3">
        <f t="shared" si="3"/>
        <v>19.892487188024436</v>
      </c>
      <c r="C19" s="12">
        <f t="shared" si="4"/>
        <v>-0.33691709373251877</v>
      </c>
      <c r="D19" s="2">
        <v>60</v>
      </c>
      <c r="E19" s="3">
        <v>30</v>
      </c>
      <c r="F19" s="2">
        <v>1.55</v>
      </c>
      <c r="G19" s="2">
        <v>1</v>
      </c>
      <c r="H19" s="3">
        <f t="shared" si="1"/>
        <v>106.47488719885024</v>
      </c>
      <c r="I19" s="3">
        <f>5*$B$27</f>
        <v>298.9679264205746</v>
      </c>
      <c r="J19" s="3">
        <f t="shared" si="5"/>
        <v>106.28485158123621</v>
      </c>
      <c r="K19" s="11"/>
      <c r="L19" s="11">
        <f t="shared" si="6"/>
        <v>628.14180590280682</v>
      </c>
      <c r="M19" s="1">
        <v>100</v>
      </c>
      <c r="N19" s="1">
        <v>2000</v>
      </c>
      <c r="O19" s="1">
        <v>500</v>
      </c>
      <c r="P19" s="1">
        <v>1200</v>
      </c>
      <c r="Q19" s="1">
        <v>100</v>
      </c>
      <c r="W19" s="2">
        <f t="shared" si="2"/>
        <v>1115.3846153846155</v>
      </c>
      <c r="X19" s="3">
        <f t="shared" si="7"/>
        <v>1850.0013084862726</v>
      </c>
    </row>
    <row r="20" spans="1:25" x14ac:dyDescent="0.35">
      <c r="A20" s="2" t="s">
        <v>8</v>
      </c>
      <c r="B20" s="3">
        <f t="shared" si="3"/>
        <v>27.101590319260072</v>
      </c>
      <c r="C20" s="12">
        <f t="shared" si="4"/>
        <v>-0.32246024201849821</v>
      </c>
      <c r="D20" s="2">
        <v>40</v>
      </c>
      <c r="E20" s="3">
        <v>40</v>
      </c>
      <c r="F20" s="2">
        <v>1.8</v>
      </c>
      <c r="G20" s="2">
        <v>1</v>
      </c>
      <c r="H20" s="3">
        <f t="shared" si="1"/>
        <v>106.47488719885024</v>
      </c>
      <c r="I20" s="3">
        <f>5*$B$27</f>
        <v>298.9679264205746</v>
      </c>
      <c r="J20" s="3">
        <f t="shared" si="5"/>
        <v>106.28485158123621</v>
      </c>
      <c r="K20" s="11"/>
      <c r="L20" s="11">
        <f t="shared" si="6"/>
        <v>729.45500040325953</v>
      </c>
      <c r="M20" s="1">
        <v>100</v>
      </c>
      <c r="N20" s="1">
        <v>2000</v>
      </c>
      <c r="O20" s="1">
        <v>500</v>
      </c>
      <c r="P20" s="1">
        <v>1200</v>
      </c>
      <c r="Q20" s="1">
        <v>100</v>
      </c>
      <c r="W20" s="2">
        <f t="shared" si="2"/>
        <v>1115.3846153846155</v>
      </c>
      <c r="X20" s="3">
        <f t="shared" si="7"/>
        <v>1951.3145029867253</v>
      </c>
    </row>
    <row r="21" spans="1:25" s="8" customFormat="1" ht="15" thickBot="1" x14ac:dyDescent="0.4">
      <c r="A21" s="8" t="s">
        <v>9</v>
      </c>
      <c r="B21" s="3">
        <f t="shared" si="3"/>
        <v>19.892487188024436</v>
      </c>
      <c r="C21" s="12">
        <f t="shared" si="4"/>
        <v>-0.50268782029938908</v>
      </c>
      <c r="D21" s="8">
        <v>60</v>
      </c>
      <c r="E21" s="14">
        <v>40</v>
      </c>
      <c r="F21" s="8">
        <v>1.55</v>
      </c>
      <c r="G21" s="8">
        <v>1</v>
      </c>
      <c r="H21" s="3">
        <f t="shared" si="1"/>
        <v>106.47488719885024</v>
      </c>
      <c r="I21" s="14">
        <f>5*$B$27</f>
        <v>298.9679264205746</v>
      </c>
      <c r="J21" s="3">
        <f t="shared" si="5"/>
        <v>106.28485158123621</v>
      </c>
      <c r="K21" s="11"/>
      <c r="L21" s="11">
        <f t="shared" si="6"/>
        <v>628.14180590280682</v>
      </c>
      <c r="M21" s="9">
        <v>100</v>
      </c>
      <c r="N21" s="9">
        <v>2000</v>
      </c>
      <c r="O21" s="9">
        <v>500</v>
      </c>
      <c r="P21" s="9">
        <v>1200</v>
      </c>
      <c r="Q21" s="9">
        <v>100</v>
      </c>
      <c r="W21" s="2">
        <f t="shared" si="2"/>
        <v>1115.3846153846155</v>
      </c>
      <c r="X21" s="3">
        <f t="shared" si="7"/>
        <v>1850.0013084862726</v>
      </c>
      <c r="Y21" s="14"/>
    </row>
    <row r="22" spans="1:25" s="10" customFormat="1" ht="15" thickTop="1" x14ac:dyDescent="0.35">
      <c r="A22" s="10" t="s">
        <v>28</v>
      </c>
      <c r="B22" s="3">
        <f t="shared" si="3"/>
        <v>105.13238751927189</v>
      </c>
      <c r="C22" s="12">
        <f t="shared" si="4"/>
        <v>-4.4251022552073804E-2</v>
      </c>
      <c r="D22" s="10">
        <v>20</v>
      </c>
      <c r="E22" s="15">
        <f>(20*40+20*70)/20</f>
        <v>110</v>
      </c>
      <c r="F22" s="10">
        <v>1.55</v>
      </c>
      <c r="G22" s="10">
        <v>2</v>
      </c>
      <c r="H22" s="3">
        <f t="shared" si="1"/>
        <v>212.94977439770048</v>
      </c>
      <c r="I22" s="15">
        <f>30*wood_p</f>
        <v>900</v>
      </c>
      <c r="J22" s="15">
        <f>15*B14</f>
        <v>358.06476938443984</v>
      </c>
      <c r="K22" s="15"/>
      <c r="L22" s="11">
        <f t="shared" si="6"/>
        <v>1950.0003925458818</v>
      </c>
      <c r="N22" s="10">
        <v>4500</v>
      </c>
      <c r="T22" s="10">
        <v>1000</v>
      </c>
      <c r="W22" s="2">
        <f t="shared" si="2"/>
        <v>1096.1538461538462</v>
      </c>
      <c r="X22" s="3">
        <f t="shared" si="7"/>
        <v>3259.1040130974284</v>
      </c>
      <c r="Y22" s="15"/>
    </row>
    <row r="23" spans="1:25" x14ac:dyDescent="0.35">
      <c r="A23" s="2" t="s">
        <v>29</v>
      </c>
      <c r="B23" s="3">
        <f t="shared" si="3"/>
        <v>39.586427885061589</v>
      </c>
      <c r="C23" s="12">
        <f t="shared" si="4"/>
        <v>-1.0339302873460299E-2</v>
      </c>
      <c r="D23" s="2">
        <v>80</v>
      </c>
      <c r="E23" s="3">
        <v>40</v>
      </c>
      <c r="F23" s="2">
        <v>1.55</v>
      </c>
      <c r="G23" s="2">
        <v>2</v>
      </c>
      <c r="H23" s="3">
        <f t="shared" si="1"/>
        <v>212.94977439770048</v>
      </c>
      <c r="I23" s="3">
        <f>30*wood_p</f>
        <v>900</v>
      </c>
      <c r="J23" s="3">
        <f>20*steel_p</f>
        <v>1298.2617708957409</v>
      </c>
      <c r="K23" s="3"/>
      <c r="L23" s="11">
        <f t="shared" si="6"/>
        <v>3407.3057448883987</v>
      </c>
      <c r="N23" s="2">
        <v>3000</v>
      </c>
      <c r="O23" s="2">
        <v>1000</v>
      </c>
      <c r="S23" s="2">
        <v>500</v>
      </c>
      <c r="U23" s="2">
        <v>100</v>
      </c>
      <c r="W23" s="2">
        <f t="shared" si="2"/>
        <v>1288.4615384615386</v>
      </c>
      <c r="X23" s="3">
        <f t="shared" si="7"/>
        <v>4908.7170577476372</v>
      </c>
    </row>
    <row r="24" spans="1:25" x14ac:dyDescent="0.35">
      <c r="A24" s="2" t="s">
        <v>30</v>
      </c>
      <c r="B24" s="3">
        <f t="shared" si="3"/>
        <v>26.073623061654796</v>
      </c>
      <c r="C24" s="12">
        <f t="shared" si="4"/>
        <v>-0.13087923127817347</v>
      </c>
      <c r="D24" s="2">
        <v>100</v>
      </c>
      <c r="E24" s="3">
        <v>30</v>
      </c>
      <c r="F24" s="2">
        <v>1.55</v>
      </c>
      <c r="G24" s="2">
        <v>2</v>
      </c>
      <c r="H24" s="3">
        <f t="shared" si="1"/>
        <v>212.94977439770048</v>
      </c>
      <c r="I24" s="3">
        <f>30*wood_p</f>
        <v>900</v>
      </c>
      <c r="J24" s="3">
        <f>10*B14</f>
        <v>238.70984625629322</v>
      </c>
      <c r="K24" s="3">
        <f>10*sulfur_p</f>
        <v>500</v>
      </c>
      <c r="L24" s="11">
        <f t="shared" si="6"/>
        <v>2540.0002616972547</v>
      </c>
      <c r="N24" s="2">
        <v>3000</v>
      </c>
      <c r="O24" s="2">
        <v>1000</v>
      </c>
      <c r="S24" s="2">
        <v>500</v>
      </c>
      <c r="U24" s="2">
        <v>100</v>
      </c>
      <c r="W24" s="2">
        <f t="shared" si="2"/>
        <v>1288.4615384615386</v>
      </c>
      <c r="X24" s="3">
        <f t="shared" si="7"/>
        <v>4041.4115745564936</v>
      </c>
    </row>
    <row r="25" spans="1:25" x14ac:dyDescent="0.35">
      <c r="A25" s="2" t="s">
        <v>31</v>
      </c>
      <c r="B25" s="3">
        <f t="shared" si="3"/>
        <v>63.207205324049248</v>
      </c>
      <c r="C25" s="12">
        <f t="shared" si="4"/>
        <v>2.2469497889031853E-2</v>
      </c>
      <c r="D25" s="2">
        <v>110</v>
      </c>
      <c r="E25" s="3">
        <f>(110*E38+70*E39)/110</f>
        <v>61.81818181818182</v>
      </c>
      <c r="F25" s="2">
        <v>1.55</v>
      </c>
      <c r="G25" s="2">
        <v>3</v>
      </c>
      <c r="H25" s="3">
        <f t="shared" si="1"/>
        <v>319.42466159655072</v>
      </c>
      <c r="I25" s="3">
        <f>15*coal_p</f>
        <v>525</v>
      </c>
      <c r="J25" s="3">
        <f>30*iron_p</f>
        <v>1950</v>
      </c>
      <c r="K25" s="3">
        <f>60*sulfur_p</f>
        <v>3000</v>
      </c>
      <c r="L25" s="11">
        <f t="shared" si="6"/>
        <v>8486.25</v>
      </c>
      <c r="N25" s="2">
        <v>2000</v>
      </c>
      <c r="O25" s="2">
        <v>1500</v>
      </c>
      <c r="S25" s="2">
        <v>1750</v>
      </c>
      <c r="U25" s="2">
        <v>100</v>
      </c>
      <c r="W25" s="2">
        <f t="shared" si="2"/>
        <v>1971.1538461538462</v>
      </c>
      <c r="X25" s="3">
        <f t="shared" si="7"/>
        <v>10776.828507750397</v>
      </c>
    </row>
    <row r="26" spans="1:25" x14ac:dyDescent="0.35">
      <c r="A26" s="2" t="s">
        <v>32</v>
      </c>
      <c r="B26" s="3">
        <f t="shared" si="3"/>
        <v>64.913088544787044</v>
      </c>
      <c r="C26" s="12">
        <f t="shared" si="4"/>
        <v>0.29826177089574091</v>
      </c>
      <c r="D26" s="2">
        <v>150</v>
      </c>
      <c r="E26" s="3">
        <v>50</v>
      </c>
      <c r="F26" s="2">
        <v>1.55</v>
      </c>
      <c r="G26" s="2">
        <v>3</v>
      </c>
      <c r="H26" s="3">
        <f t="shared" si="1"/>
        <v>319.42466159655072</v>
      </c>
      <c r="I26" s="3">
        <f>30*coal_p</f>
        <v>1050</v>
      </c>
      <c r="J26" s="3">
        <f>100*iron_p</f>
        <v>6500</v>
      </c>
      <c r="K26" s="3">
        <f>30*elec_p</f>
        <v>988.327023616063</v>
      </c>
      <c r="L26" s="11">
        <f t="shared" si="6"/>
        <v>13234.406886604896</v>
      </c>
      <c r="N26" s="2">
        <v>2000</v>
      </c>
      <c r="O26" s="2">
        <v>1500</v>
      </c>
      <c r="S26" s="2">
        <v>1000</v>
      </c>
      <c r="U26" s="2">
        <v>100</v>
      </c>
      <c r="W26" s="2">
        <f t="shared" si="2"/>
        <v>1538.4615384615386</v>
      </c>
      <c r="X26" s="3">
        <f t="shared" si="7"/>
        <v>15092.293086662987</v>
      </c>
    </row>
    <row r="27" spans="1:25" x14ac:dyDescent="0.35">
      <c r="A27" s="2" t="s">
        <v>38</v>
      </c>
      <c r="B27" s="26">
        <v>59.793585284114926</v>
      </c>
      <c r="C27" s="12">
        <f t="shared" si="4"/>
        <v>-3.4402452647512849E-3</v>
      </c>
      <c r="D27" s="2">
        <v>80</v>
      </c>
      <c r="E27" s="3">
        <v>60</v>
      </c>
      <c r="F27" s="2">
        <v>1.55</v>
      </c>
      <c r="G27" s="2">
        <v>3</v>
      </c>
      <c r="H27" s="3">
        <f t="shared" si="1"/>
        <v>319.42466159655072</v>
      </c>
      <c r="I27" s="3" cm="1">
        <f t="array" ref="I27">40*steel_p</f>
        <v>2596.5235417914819</v>
      </c>
      <c r="J27" s="3">
        <f>30*elec_p</f>
        <v>988.327023616063</v>
      </c>
      <c r="K27" s="3"/>
      <c r="L27" s="11">
        <f t="shared" si="6"/>
        <v>5556.5183763816949</v>
      </c>
      <c r="N27" s="2">
        <v>2000</v>
      </c>
      <c r="O27" s="2">
        <v>1500</v>
      </c>
      <c r="S27" s="2">
        <v>1000</v>
      </c>
      <c r="U27" s="2">
        <v>100</v>
      </c>
      <c r="W27" s="2">
        <f t="shared" si="2"/>
        <v>1538.4615384615386</v>
      </c>
      <c r="X27" s="3">
        <f t="shared" si="7"/>
        <v>7414.4045764397833</v>
      </c>
      <c r="Y27" s="3">
        <f>X27/(D27*F27)</f>
        <v>59.793585293869221</v>
      </c>
    </row>
    <row r="28" spans="1:25" s="8" customFormat="1" x14ac:dyDescent="0.35">
      <c r="A28" s="8" t="s">
        <v>34</v>
      </c>
      <c r="B28" s="3">
        <f t="shared" si="3"/>
        <v>32.944234120535434</v>
      </c>
      <c r="C28" s="12">
        <f t="shared" si="4"/>
        <v>9.8141137351181129E-2</v>
      </c>
      <c r="D28" s="8">
        <v>100</v>
      </c>
      <c r="E28" s="14">
        <v>30</v>
      </c>
      <c r="F28" s="8">
        <v>1.55</v>
      </c>
      <c r="G28" s="8">
        <v>3</v>
      </c>
      <c r="H28" s="3">
        <f t="shared" si="1"/>
        <v>319.42466159655072</v>
      </c>
      <c r="I28" s="14">
        <f>30*coal_p</f>
        <v>1050</v>
      </c>
      <c r="J28" s="14">
        <f>15*motor_p</f>
        <v>896.90377926172391</v>
      </c>
      <c r="K28" s="14"/>
      <c r="L28" s="11">
        <f t="shared" si="6"/>
        <v>3017.700857855672</v>
      </c>
      <c r="N28" s="8">
        <v>2000</v>
      </c>
      <c r="O28" s="8">
        <v>1500</v>
      </c>
      <c r="S28" s="8">
        <v>1400</v>
      </c>
      <c r="U28" s="8">
        <v>100</v>
      </c>
      <c r="W28" s="2">
        <f t="shared" si="2"/>
        <v>1769.2307692307693</v>
      </c>
      <c r="X28" s="3">
        <f t="shared" si="7"/>
        <v>5106.3562886829923</v>
      </c>
      <c r="Y28" s="14"/>
    </row>
    <row r="29" spans="1:25" s="21" customFormat="1" x14ac:dyDescent="0.35">
      <c r="A29" s="21" t="s">
        <v>54</v>
      </c>
      <c r="B29" s="3">
        <f t="shared" si="3"/>
        <v>92.586858420273899</v>
      </c>
      <c r="C29" s="22" t="s">
        <v>55</v>
      </c>
      <c r="D29" s="21">
        <v>30</v>
      </c>
      <c r="E29" s="22" t="s">
        <v>55</v>
      </c>
      <c r="F29" s="21">
        <v>1</v>
      </c>
      <c r="G29" s="21">
        <v>0</v>
      </c>
      <c r="H29" s="3">
        <f t="shared" si="1"/>
        <v>0</v>
      </c>
      <c r="I29" s="22">
        <f>15*motor_p</f>
        <v>896.90377926172391</v>
      </c>
      <c r="J29" s="22">
        <f>15*elec_p</f>
        <v>494.1635118080315</v>
      </c>
      <c r="K29" s="22"/>
      <c r="L29" s="11">
        <f t="shared" si="6"/>
        <v>1391.0672910697554</v>
      </c>
      <c r="N29" s="21">
        <v>2000</v>
      </c>
      <c r="O29" s="21">
        <v>2000</v>
      </c>
      <c r="R29" s="21">
        <v>750</v>
      </c>
      <c r="U29" s="21">
        <v>250</v>
      </c>
      <c r="W29" s="2">
        <f t="shared" si="2"/>
        <v>1386.5384615384614</v>
      </c>
      <c r="X29" s="3">
        <f t="shared" si="7"/>
        <v>2777.6057526082168</v>
      </c>
      <c r="Y29" s="22"/>
    </row>
    <row r="30" spans="1:25" s="21" customFormat="1" ht="15" thickBot="1" x14ac:dyDescent="0.4">
      <c r="A30" s="21" t="s">
        <v>53</v>
      </c>
      <c r="B30" s="3">
        <f t="shared" ref="B30" si="8">X30/(D30*F30)</f>
        <v>21.256970316247241</v>
      </c>
      <c r="C30" s="12">
        <f t="shared" ref="C30" si="9">B30/E30-1</f>
        <v>-0.29143432279175863</v>
      </c>
      <c r="D30" s="21">
        <v>30</v>
      </c>
      <c r="E30" s="22">
        <v>30</v>
      </c>
      <c r="F30" s="21">
        <v>1</v>
      </c>
      <c r="G30" s="21">
        <v>5</v>
      </c>
      <c r="H30" s="3">
        <f t="shared" si="1"/>
        <v>532.37443599425114</v>
      </c>
      <c r="I30" s="22">
        <f>5*steel_p</f>
        <v>324.56544272393523</v>
      </c>
      <c r="J30" s="22"/>
      <c r="K30" s="22"/>
      <c r="L30" s="11">
        <f t="shared" si="6"/>
        <v>324.56544272393523</v>
      </c>
      <c r="O30" s="21">
        <v>-500</v>
      </c>
      <c r="R30" s="21">
        <v>-500</v>
      </c>
      <c r="W30" s="2">
        <f t="shared" si="2"/>
        <v>-219.23076923076923</v>
      </c>
      <c r="X30" s="3">
        <f t="shared" ref="X30" si="10">H30+L30+W30</f>
        <v>637.70910948741721</v>
      </c>
      <c r="Y30" s="22"/>
    </row>
    <row r="31" spans="1:25" s="10" customFormat="1" ht="15" thickTop="1" x14ac:dyDescent="0.35">
      <c r="A31" s="10" t="s">
        <v>24</v>
      </c>
      <c r="B31" s="3">
        <f t="shared" si="3"/>
        <v>29.985718487266713</v>
      </c>
      <c r="C31" s="12">
        <f t="shared" si="4"/>
        <v>-4.7605042444287538E-4</v>
      </c>
      <c r="D31" s="15">
        <f>K40</f>
        <v>57.328719407894098</v>
      </c>
      <c r="E31" s="15">
        <v>30</v>
      </c>
      <c r="F31" s="10">
        <v>1.55</v>
      </c>
      <c r="G31" s="10">
        <v>2</v>
      </c>
      <c r="H31" s="3">
        <f t="shared" si="1"/>
        <v>212.94977439770048</v>
      </c>
      <c r="I31" s="15">
        <f>I40*B10</f>
        <v>825.81925990374111</v>
      </c>
      <c r="J31" s="15">
        <f>J40*B18</f>
        <v>103.707534965164</v>
      </c>
      <c r="K31" s="15"/>
      <c r="L31" s="11">
        <f t="shared" si="6"/>
        <v>1440.7665320468029</v>
      </c>
      <c r="N31" s="15">
        <f>N40</f>
        <v>4335.6128297663799</v>
      </c>
      <c r="O31" s="15">
        <f>M40</f>
        <v>123.28756861967921</v>
      </c>
      <c r="S31" s="15">
        <f>L40</f>
        <v>41.095856206559738</v>
      </c>
      <c r="U31" s="10">
        <v>100</v>
      </c>
      <c r="W31" s="2">
        <f t="shared" si="2"/>
        <v>1010.8000977264512</v>
      </c>
      <c r="X31" s="3">
        <f t="shared" si="7"/>
        <v>2664.516404170955</v>
      </c>
      <c r="Y31" s="15"/>
    </row>
    <row r="32" spans="1:25" x14ac:dyDescent="0.35">
      <c r="A32" s="2" t="s">
        <v>26</v>
      </c>
      <c r="B32" s="3">
        <f t="shared" si="3"/>
        <v>39.934843370633061</v>
      </c>
      <c r="C32" s="12">
        <f t="shared" si="4"/>
        <v>-0.33441927715611564</v>
      </c>
      <c r="D32" s="2">
        <v>40</v>
      </c>
      <c r="E32" s="3">
        <f>(40*E36+20*E37)/40</f>
        <v>60</v>
      </c>
      <c r="F32" s="2">
        <v>1.55</v>
      </c>
      <c r="G32" s="2">
        <v>2</v>
      </c>
      <c r="H32" s="3">
        <f t="shared" si="1"/>
        <v>212.94977439770048</v>
      </c>
      <c r="I32" s="3">
        <f>30*B13</f>
        <v>325.21908383112088</v>
      </c>
      <c r="J32" s="3">
        <f>5*B14</f>
        <v>119.35492312814661</v>
      </c>
      <c r="K32" s="3">
        <f>10*B20</f>
        <v>271.01590319260072</v>
      </c>
      <c r="L32" s="11">
        <f t="shared" si="6"/>
        <v>1109.1643607353958</v>
      </c>
      <c r="N32" s="2">
        <v>4000</v>
      </c>
      <c r="O32" s="2">
        <v>500</v>
      </c>
      <c r="T32" s="2">
        <v>500</v>
      </c>
      <c r="U32" s="2">
        <v>100</v>
      </c>
      <c r="W32" s="2">
        <f t="shared" si="2"/>
        <v>1153.8461538461538</v>
      </c>
      <c r="X32" s="3">
        <f t="shared" si="7"/>
        <v>2475.96028897925</v>
      </c>
    </row>
    <row r="33" spans="1:24" x14ac:dyDescent="0.35">
      <c r="A33" s="2" t="s">
        <v>27</v>
      </c>
      <c r="B33" s="3">
        <f t="shared" si="3"/>
        <v>28.323663643465995</v>
      </c>
      <c r="C33" s="12">
        <f t="shared" si="4"/>
        <v>-5.5877878551133464E-2</v>
      </c>
      <c r="D33" s="2">
        <v>110</v>
      </c>
      <c r="E33" s="3">
        <v>30</v>
      </c>
      <c r="F33" s="2">
        <v>1.55</v>
      </c>
      <c r="G33" s="2">
        <v>2</v>
      </c>
      <c r="H33" s="3">
        <f t="shared" si="1"/>
        <v>212.94977439770048</v>
      </c>
      <c r="I33" s="3">
        <f>10*tool_p</f>
        <v>395.8642788506159</v>
      </c>
      <c r="J33" s="3">
        <f>10*B13</f>
        <v>108.40636127704029</v>
      </c>
      <c r="K33" s="3">
        <f>50*wood_p</f>
        <v>1500</v>
      </c>
      <c r="L33" s="11">
        <f t="shared" si="6"/>
        <v>3106.6194921978672</v>
      </c>
      <c r="N33" s="2">
        <v>3000</v>
      </c>
      <c r="O33" s="2">
        <v>1250</v>
      </c>
      <c r="S33" s="2">
        <v>750</v>
      </c>
      <c r="U33" s="2">
        <v>100</v>
      </c>
      <c r="W33" s="2">
        <f t="shared" si="2"/>
        <v>1509.6153846153845</v>
      </c>
      <c r="X33" s="3">
        <f t="shared" si="7"/>
        <v>4829.1846512109523</v>
      </c>
    </row>
    <row r="34" spans="1:24" x14ac:dyDescent="0.35">
      <c r="A34" s="2" t="s">
        <v>33</v>
      </c>
      <c r="B34" s="3">
        <f t="shared" si="3"/>
        <v>213.32116775238754</v>
      </c>
      <c r="C34" s="12">
        <f t="shared" si="4"/>
        <v>6.6605838761937708E-2</v>
      </c>
      <c r="D34" s="2">
        <v>3</v>
      </c>
      <c r="E34" s="3">
        <v>200</v>
      </c>
      <c r="F34" s="2">
        <v>1.55</v>
      </c>
      <c r="G34" s="2">
        <v>2</v>
      </c>
      <c r="H34" s="3">
        <f t="shared" si="1"/>
        <v>212.94977439770048</v>
      </c>
      <c r="I34" s="3">
        <f>5*B24</f>
        <v>130.36811530827399</v>
      </c>
      <c r="J34" s="3"/>
      <c r="K34" s="3"/>
      <c r="L34" s="11">
        <f t="shared" si="6"/>
        <v>202.07057872782468</v>
      </c>
      <c r="V34" s="2">
        <v>1000</v>
      </c>
      <c r="W34" s="2">
        <f t="shared" si="2"/>
        <v>576.92307692307691</v>
      </c>
      <c r="X34" s="3">
        <f t="shared" si="7"/>
        <v>991.94343004860207</v>
      </c>
    </row>
    <row r="35" spans="1:24" ht="15" thickBot="1" x14ac:dyDescent="0.4">
      <c r="E35" s="3"/>
      <c r="G35" s="8"/>
      <c r="H35" s="8"/>
      <c r="I35" s="8"/>
      <c r="J35" s="8"/>
      <c r="K35" s="8"/>
      <c r="L35" s="8"/>
      <c r="M35" s="8"/>
      <c r="N35" s="8"/>
    </row>
    <row r="36" spans="1:24" ht="15" thickTop="1" x14ac:dyDescent="0.35">
      <c r="A36" s="2" t="s">
        <v>35</v>
      </c>
      <c r="B36" s="3">
        <f>E36*(C36+1)</f>
        <v>19.96742168531653</v>
      </c>
      <c r="C36" s="12">
        <f>$C$32</f>
        <v>-0.33441927715611564</v>
      </c>
      <c r="E36" s="3">
        <v>30</v>
      </c>
      <c r="F36" s="28"/>
      <c r="G36" s="31" t="s">
        <v>58</v>
      </c>
      <c r="H36" s="32"/>
      <c r="I36" s="32"/>
      <c r="J36" s="32"/>
      <c r="K36" s="32"/>
      <c r="L36" s="32"/>
      <c r="M36" s="32"/>
      <c r="N36" s="33"/>
      <c r="O36" s="29"/>
    </row>
    <row r="37" spans="1:24" x14ac:dyDescent="0.35">
      <c r="A37" s="2" t="s">
        <v>36</v>
      </c>
      <c r="B37" s="3">
        <f>E37*(C37+1)</f>
        <v>39.934843370633061</v>
      </c>
      <c r="C37" s="12">
        <f>$C$32</f>
        <v>-0.33441927715611564</v>
      </c>
      <c r="E37" s="3">
        <v>60</v>
      </c>
      <c r="F37" s="28"/>
      <c r="G37" s="34" t="s">
        <v>63</v>
      </c>
      <c r="I37" s="2" t="s">
        <v>60</v>
      </c>
      <c r="J37" s="2" t="s">
        <v>61</v>
      </c>
      <c r="K37" s="2" t="s">
        <v>24</v>
      </c>
      <c r="L37" s="2" t="s">
        <v>19</v>
      </c>
      <c r="M37" s="2" t="s">
        <v>16</v>
      </c>
      <c r="N37" s="35" t="s">
        <v>15</v>
      </c>
      <c r="O37" s="29"/>
    </row>
    <row r="38" spans="1:24" x14ac:dyDescent="0.35">
      <c r="A38" s="2" t="s">
        <v>46</v>
      </c>
      <c r="B38" s="3">
        <f>E38*(C38+1)</f>
        <v>30.674084936670955</v>
      </c>
      <c r="C38" s="12">
        <f>$C$25</f>
        <v>2.2469497889031853E-2</v>
      </c>
      <c r="E38" s="2">
        <v>30</v>
      </c>
      <c r="F38" s="28"/>
      <c r="G38" s="34">
        <v>0.83561574286100959</v>
      </c>
      <c r="H38" s="2" t="s">
        <v>59</v>
      </c>
      <c r="I38" s="3">
        <v>40</v>
      </c>
      <c r="J38" s="3"/>
      <c r="K38" s="3">
        <v>45</v>
      </c>
      <c r="L38" s="3">
        <v>0</v>
      </c>
      <c r="M38" s="3">
        <v>0</v>
      </c>
      <c r="N38" s="36">
        <v>4500</v>
      </c>
      <c r="O38" s="29"/>
    </row>
    <row r="39" spans="1:24" x14ac:dyDescent="0.35">
      <c r="A39" s="2" t="s">
        <v>47</v>
      </c>
      <c r="B39" s="3">
        <f>E39*(C39+1)</f>
        <v>51.12347489445159</v>
      </c>
      <c r="C39" s="12">
        <f>$C$25</f>
        <v>2.2469497889031853E-2</v>
      </c>
      <c r="E39" s="2">
        <v>50</v>
      </c>
      <c r="F39" s="28"/>
      <c r="G39" s="34">
        <v>0.16438342482623894</v>
      </c>
      <c r="H39" s="2" t="s">
        <v>62</v>
      </c>
      <c r="I39" s="3">
        <v>80</v>
      </c>
      <c r="J39" s="3">
        <v>30</v>
      </c>
      <c r="K39" s="3">
        <v>120</v>
      </c>
      <c r="L39" s="3">
        <v>250</v>
      </c>
      <c r="M39" s="3">
        <v>750</v>
      </c>
      <c r="N39" s="36">
        <v>3500</v>
      </c>
      <c r="O39" s="29"/>
    </row>
    <row r="40" spans="1:24" x14ac:dyDescent="0.35">
      <c r="F40" s="28"/>
      <c r="G40" s="34">
        <f>SUM(G38:G39)</f>
        <v>0.9999991676872485</v>
      </c>
      <c r="H40" s="2" t="s">
        <v>68</v>
      </c>
      <c r="I40" s="3">
        <f>I38*$G$38+I39*$G$39</f>
        <v>46.5753037005395</v>
      </c>
      <c r="J40" s="3">
        <f>J38*$G$38+J39*$G$39</f>
        <v>4.931502744787168</v>
      </c>
      <c r="K40" s="3">
        <f>K38*$G$38+K39*$G$39</f>
        <v>57.328719407894098</v>
      </c>
      <c r="L40" s="3">
        <f>L38*$G$38+L39*$G$39</f>
        <v>41.095856206559738</v>
      </c>
      <c r="M40" s="3">
        <f>M38*$G$38+M39*$G$39</f>
        <v>123.28756861967921</v>
      </c>
      <c r="N40" s="36">
        <f>N38*$G$38+N39*$G$39</f>
        <v>4335.6128297663799</v>
      </c>
      <c r="O40" s="29"/>
    </row>
    <row r="41" spans="1:24" x14ac:dyDescent="0.35">
      <c r="A41" s="2" t="s">
        <v>49</v>
      </c>
      <c r="B41" s="13">
        <v>35</v>
      </c>
      <c r="F41" s="28"/>
      <c r="G41" s="34"/>
      <c r="H41" s="2" t="s">
        <v>66</v>
      </c>
      <c r="I41" s="3">
        <v>85</v>
      </c>
      <c r="J41" s="3">
        <v>9</v>
      </c>
      <c r="K41" s="3"/>
      <c r="L41" s="3"/>
      <c r="M41" s="3"/>
      <c r="N41" s="36"/>
      <c r="O41" s="29"/>
    </row>
    <row r="42" spans="1:24" x14ac:dyDescent="0.35">
      <c r="A42" s="2" t="s">
        <v>50</v>
      </c>
      <c r="B42" s="13">
        <v>65</v>
      </c>
      <c r="F42" s="28"/>
      <c r="G42" s="34"/>
      <c r="N42" s="35"/>
      <c r="O42" s="29"/>
    </row>
    <row r="43" spans="1:24" x14ac:dyDescent="0.35">
      <c r="A43" s="2" t="s">
        <v>51</v>
      </c>
      <c r="B43" s="13">
        <v>50</v>
      </c>
      <c r="F43" s="28"/>
      <c r="G43" s="34" t="s">
        <v>65</v>
      </c>
      <c r="H43" s="27">
        <f>(G40-1)^2</f>
        <v>6.9274451630539343E-13</v>
      </c>
      <c r="I43" s="27">
        <f>(I40*J41-J40*I41)^2</f>
        <v>4.2179002490412982E-18</v>
      </c>
      <c r="N43" s="35"/>
      <c r="O43" s="29"/>
    </row>
    <row r="44" spans="1:24" ht="15" thickBot="1" x14ac:dyDescent="0.4">
      <c r="A44" s="2" t="s">
        <v>52</v>
      </c>
      <c r="B44" s="13">
        <v>30</v>
      </c>
      <c r="F44" s="28"/>
      <c r="G44" s="37" t="s">
        <v>67</v>
      </c>
      <c r="H44" s="38">
        <f>SUM(H43:I43)</f>
        <v>6.9274873420564247E-13</v>
      </c>
      <c r="I44" s="38"/>
      <c r="J44" s="39"/>
      <c r="K44" s="39"/>
      <c r="L44" s="39"/>
      <c r="M44" s="39"/>
      <c r="N44" s="40"/>
      <c r="O44" s="29"/>
    </row>
    <row r="45" spans="1:24" ht="15" thickTop="1" x14ac:dyDescent="0.35">
      <c r="G45" s="30"/>
      <c r="H45" s="30"/>
      <c r="I45" s="30"/>
      <c r="J45" s="30"/>
      <c r="K45" s="30"/>
      <c r="L45" s="30"/>
      <c r="M45" s="30"/>
      <c r="N45" s="30"/>
    </row>
  </sheetData>
  <mergeCells count="3">
    <mergeCell ref="F7:G7"/>
    <mergeCell ref="G36:N36"/>
    <mergeCell ref="K7:L7"/>
  </mergeCells>
  <pageMargins left="0.7" right="0.7" top="0.75" bottom="0.75" header="0.3" footer="0.3"/>
  <pageSetup paperSize="9" orientation="portrait" r:id="rId1"/>
  <ignoredErrors>
    <ignoredError sqref="I27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1" baseType="lpstr">
      <vt:lpstr>main</vt:lpstr>
      <vt:lpstr>coal_p</vt:lpstr>
      <vt:lpstr>elec_p</vt:lpstr>
      <vt:lpstr>infra_p</vt:lpstr>
      <vt:lpstr>iron_p</vt:lpstr>
      <vt:lpstr>motor_p</vt:lpstr>
      <vt:lpstr>steel_p</vt:lpstr>
      <vt:lpstr>sulfur_p</vt:lpstr>
      <vt:lpstr>tool_p</vt:lpstr>
      <vt:lpstr>trans_p</vt:lpstr>
      <vt:lpstr>wood_p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Nanfeng Qin</dc:creator>
  <cp:lastModifiedBy>Nanfeng Qin</cp:lastModifiedBy>
  <dcterms:created xsi:type="dcterms:W3CDTF">2015-06-05T18:17:20Z</dcterms:created>
  <dcterms:modified xsi:type="dcterms:W3CDTF">2022-12-17T12:42:40Z</dcterms:modified>
</cp:coreProperties>
</file>