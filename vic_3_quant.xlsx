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Nanfeng.Qin\Desktop\vic3\"/>
    </mc:Choice>
  </mc:AlternateContent>
  <xr:revisionPtr revIDLastSave="0" documentId="13_ncr:1_{CEF701BF-6502-4395-BC92-99BB29F93361}" xr6:coauthVersionLast="47" xr6:coauthVersionMax="47" xr10:uidLastSave="{00000000-0000-0000-0000-000000000000}"/>
  <bookViews>
    <workbookView xWindow="-110" yWindow="-110" windowWidth="18490" windowHeight="11020" xr2:uid="{00000000-000D-0000-FFFF-FFFF00000000}"/>
  </bookViews>
  <sheets>
    <sheet name="main" sheetId="1" r:id="rId1"/>
  </sheets>
  <definedNames>
    <definedName name="coal_p">main!$B$44</definedName>
    <definedName name="elec_p">main!$B$31</definedName>
    <definedName name="infra_p">main!$K$8</definedName>
    <definedName name="iron_p">main!$B$45</definedName>
    <definedName name="motor_p">main!$B$30</definedName>
    <definedName name="solver_adj" localSheetId="0" hidden="1">main!$K$8,main!$B$30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main!$B$7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steel_p">main!$B$29</definedName>
    <definedName name="sulfur_p">main!$B$46</definedName>
    <definedName name="tool_p">main!$B$26</definedName>
    <definedName name="trans_p">main!$B$33</definedName>
    <definedName name="wood_p">main!$B$47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16" i="1"/>
  <c r="L17" i="1"/>
  <c r="L18" i="1"/>
  <c r="L19" i="1"/>
  <c r="L20" i="1"/>
  <c r="L21" i="1"/>
  <c r="L22" i="1"/>
  <c r="L23" i="1"/>
  <c r="L14" i="1"/>
  <c r="Q8" i="1"/>
  <c r="R8" i="1"/>
  <c r="S8" i="1"/>
  <c r="T8" i="1"/>
  <c r="U8" i="1"/>
  <c r="V8" i="1"/>
  <c r="W8" i="1"/>
  <c r="X8" i="1"/>
  <c r="Y8" i="1"/>
  <c r="P8" i="1"/>
  <c r="C16" i="1"/>
  <c r="F16" i="1" s="1"/>
  <c r="F17" i="1"/>
  <c r="N13" i="1"/>
  <c r="L13" i="1"/>
  <c r="K7" i="1"/>
  <c r="K16" i="1" s="1"/>
  <c r="I37" i="1"/>
  <c r="I36" i="1"/>
  <c r="I35" i="1"/>
  <c r="I34" i="1"/>
  <c r="I31" i="1"/>
  <c r="I26" i="1"/>
  <c r="I27" i="1"/>
  <c r="I28" i="1"/>
  <c r="I29" i="1"/>
  <c r="I30" i="1"/>
  <c r="I25" i="1"/>
  <c r="I22" i="1"/>
  <c r="I15" i="1"/>
  <c r="I12" i="1"/>
  <c r="I14" i="1"/>
  <c r="I16" i="1"/>
  <c r="I17" i="1"/>
  <c r="I18" i="1"/>
  <c r="I19" i="1"/>
  <c r="I20" i="1"/>
  <c r="I21" i="1"/>
  <c r="I23" i="1"/>
  <c r="I11" i="1"/>
  <c r="N36" i="1"/>
  <c r="Q43" i="1"/>
  <c r="Q34" i="1" s="1"/>
  <c r="P43" i="1"/>
  <c r="R34" i="1" s="1"/>
  <c r="O43" i="1"/>
  <c r="V34" i="1" s="1"/>
  <c r="N43" i="1"/>
  <c r="G34" i="1" s="1"/>
  <c r="M43" i="1"/>
  <c r="L43" i="1"/>
  <c r="J43" i="1"/>
  <c r="K46" i="1" s="1"/>
  <c r="N27" i="1"/>
  <c r="L27" i="1"/>
  <c r="L25" i="1"/>
  <c r="H25" i="1"/>
  <c r="K14" i="1"/>
  <c r="K23" i="1"/>
  <c r="K25" i="1"/>
  <c r="K29" i="1"/>
  <c r="K30" i="1"/>
  <c r="K11" i="1"/>
  <c r="M29" i="1"/>
  <c r="L26" i="1"/>
  <c r="N28" i="1"/>
  <c r="M28" i="1"/>
  <c r="L28" i="1"/>
  <c r="L29" i="1"/>
  <c r="L31" i="1"/>
  <c r="H28" i="1"/>
  <c r="H35" i="1"/>
  <c r="H11" i="1"/>
  <c r="G11" i="1"/>
  <c r="K13" i="1" l="1"/>
  <c r="Z13" i="1"/>
  <c r="K12" i="1"/>
  <c r="K37" i="1"/>
  <c r="K21" i="1"/>
  <c r="K32" i="1"/>
  <c r="K20" i="1"/>
  <c r="K22" i="1"/>
  <c r="K33" i="1"/>
  <c r="K31" i="1"/>
  <c r="K15" i="1"/>
  <c r="K35" i="1"/>
  <c r="K27" i="1"/>
  <c r="K18" i="1"/>
  <c r="K36" i="1"/>
  <c r="K28" i="1"/>
  <c r="K19" i="1"/>
  <c r="K34" i="1"/>
  <c r="K26" i="1"/>
  <c r="K17" i="1"/>
  <c r="Z12" i="1"/>
  <c r="Z37" i="1"/>
  <c r="Z29" i="1"/>
  <c r="Z20" i="1"/>
  <c r="Z19" i="1"/>
  <c r="Z35" i="1"/>
  <c r="Z27" i="1"/>
  <c r="Z18" i="1"/>
  <c r="Z28" i="1"/>
  <c r="Z34" i="1"/>
  <c r="Z26" i="1"/>
  <c r="Z17" i="1"/>
  <c r="Z33" i="1"/>
  <c r="Z25" i="1"/>
  <c r="Z16" i="1"/>
  <c r="Z36" i="1"/>
  <c r="Z32" i="1"/>
  <c r="Z23" i="1"/>
  <c r="Z15" i="1"/>
  <c r="Z31" i="1"/>
  <c r="Z22" i="1"/>
  <c r="Z14" i="1"/>
  <c r="Z11" i="1"/>
  <c r="Z30" i="1"/>
  <c r="Z21" i="1"/>
  <c r="L46" i="1"/>
  <c r="K47" i="1" s="1"/>
  <c r="O28" i="1"/>
  <c r="AA28" i="1" l="1"/>
  <c r="B28" i="1" s="1"/>
  <c r="C28" i="1" s="1"/>
  <c r="F28" i="1" s="1"/>
  <c r="C41" i="1" l="1"/>
  <c r="B41" i="1" s="1"/>
  <c r="L11" i="1" s="1"/>
  <c r="C42" i="1"/>
  <c r="B42" i="1" s="1"/>
  <c r="C14" i="1"/>
  <c r="F14" i="1" s="1"/>
  <c r="C17" i="1"/>
  <c r="L32" i="1"/>
  <c r="M31" i="1"/>
  <c r="O31" i="1" s="1"/>
  <c r="AA31" i="1" s="1"/>
  <c r="B31" i="1" s="1"/>
  <c r="C30" i="1"/>
  <c r="F30" i="1" s="1"/>
  <c r="M32" i="1" l="1"/>
  <c r="O32" i="1" s="1"/>
  <c r="AA32" i="1" s="1"/>
  <c r="B32" i="1" s="1"/>
  <c r="M30" i="1"/>
  <c r="C31" i="1"/>
  <c r="F31" i="1" s="1"/>
  <c r="N29" i="1"/>
  <c r="O29" i="1" s="1"/>
  <c r="AA29" i="1" s="1"/>
  <c r="B29" i="1" s="1"/>
  <c r="L33" i="1" l="1"/>
  <c r="O33" i="1" s="1"/>
  <c r="AA33" i="1" s="1"/>
  <c r="B33" i="1" s="1"/>
  <c r="L30" i="1" a="1"/>
  <c r="L30" i="1" s="1"/>
  <c r="O30" i="1" s="1"/>
  <c r="AA30" i="1" s="1"/>
  <c r="AB30" i="1" s="1"/>
  <c r="B7" i="1" s="1"/>
  <c r="M26" i="1"/>
  <c r="O26" i="1" s="1"/>
  <c r="AA26" i="1" s="1"/>
  <c r="B26" i="1" s="1"/>
  <c r="L36" i="1" s="1"/>
  <c r="C29" i="1"/>
  <c r="F29" i="1" s="1"/>
  <c r="M13" i="1" l="1"/>
  <c r="O13" i="1" s="1"/>
  <c r="AA13" i="1" s="1"/>
  <c r="B13" i="1" s="1"/>
  <c r="C13" i="1" s="1"/>
  <c r="F13" i="1" s="1"/>
  <c r="M21" i="1"/>
  <c r="O21" i="1" s="1"/>
  <c r="AA21" i="1" s="1"/>
  <c r="B21" i="1" s="1"/>
  <c r="C21" i="1" s="1"/>
  <c r="F21" i="1" s="1"/>
  <c r="M22" i="1"/>
  <c r="O22" i="1" s="1"/>
  <c r="AA22" i="1" s="1"/>
  <c r="B22" i="1" s="1"/>
  <c r="M15" i="1"/>
  <c r="O15" i="1" s="1"/>
  <c r="AA15" i="1" s="1"/>
  <c r="B15" i="1" s="1"/>
  <c r="M36" i="1" s="1"/>
  <c r="O36" i="1" s="1"/>
  <c r="AA36" i="1" s="1"/>
  <c r="B36" i="1" s="1"/>
  <c r="C36" i="1" s="1"/>
  <c r="F36" i="1" s="1"/>
  <c r="M23" i="1"/>
  <c r="M16" i="1"/>
  <c r="O16" i="1" s="1"/>
  <c r="AA16" i="1" s="1"/>
  <c r="M14" i="1"/>
  <c r="O14" i="1" s="1"/>
  <c r="AA14" i="1" s="1"/>
  <c r="M17" i="1"/>
  <c r="O17" i="1" s="1"/>
  <c r="AA17" i="1" s="1"/>
  <c r="M18" i="1"/>
  <c r="O18" i="1" s="1"/>
  <c r="AA18" i="1" s="1"/>
  <c r="B18" i="1" s="1"/>
  <c r="C18" i="1" s="1"/>
  <c r="F18" i="1" s="1"/>
  <c r="M19" i="1"/>
  <c r="O19" i="1" s="1"/>
  <c r="AA19" i="1" s="1"/>
  <c r="B19" i="1" s="1"/>
  <c r="C19" i="1" s="1"/>
  <c r="F19" i="1" s="1"/>
  <c r="M20" i="1"/>
  <c r="O20" i="1" s="1"/>
  <c r="AA20" i="1" s="1"/>
  <c r="N12" i="1"/>
  <c r="C26" i="1"/>
  <c r="F26" i="1" s="1"/>
  <c r="M11" i="1"/>
  <c r="O11" i="1" s="1"/>
  <c r="AA11" i="1" s="1"/>
  <c r="B11" i="1" s="1"/>
  <c r="O23" i="1"/>
  <c r="AA23" i="1" s="1"/>
  <c r="B23" i="1" s="1"/>
  <c r="C23" i="1" s="1"/>
  <c r="F23" i="1" s="1"/>
  <c r="C33" i="1"/>
  <c r="F33" i="1" s="1"/>
  <c r="L34" i="1" l="1"/>
  <c r="L12" i="1"/>
  <c r="M27" i="1"/>
  <c r="O27" i="1" s="1"/>
  <c r="AA27" i="1" s="1"/>
  <c r="B27" i="1" s="1"/>
  <c r="M35" i="1"/>
  <c r="M25" i="1"/>
  <c r="O25" i="1" s="1"/>
  <c r="AA25" i="1" s="1"/>
  <c r="B25" i="1" s="1"/>
  <c r="C25" i="1" s="1"/>
  <c r="F25" i="1" s="1"/>
  <c r="C15" i="1"/>
  <c r="F15" i="1" s="1"/>
  <c r="M12" i="1"/>
  <c r="L35" i="1"/>
  <c r="C11" i="1"/>
  <c r="C22" i="1"/>
  <c r="F22" i="1" s="1"/>
  <c r="N35" i="1"/>
  <c r="C20" i="1" l="1"/>
  <c r="F11" i="1"/>
  <c r="C27" i="1"/>
  <c r="F27" i="1" s="1"/>
  <c r="L37" i="1"/>
  <c r="O37" i="1" s="1"/>
  <c r="AA37" i="1" s="1"/>
  <c r="B37" i="1" s="1"/>
  <c r="C37" i="1" s="1"/>
  <c r="F37" i="1" s="1"/>
  <c r="O12" i="1"/>
  <c r="AA12" i="1" s="1"/>
  <c r="B12" i="1" s="1"/>
  <c r="C12" i="1" s="1"/>
  <c r="F12" i="1" s="1"/>
  <c r="O35" i="1"/>
  <c r="AA35" i="1" s="1"/>
  <c r="B35" i="1" s="1"/>
  <c r="C35" i="1" s="1"/>
  <c r="F35" i="1" s="1"/>
  <c r="B20" i="1" l="1"/>
  <c r="M34" i="1" s="1"/>
  <c r="O34" i="1" s="1"/>
  <c r="AA34" i="1" s="1"/>
  <c r="B34" i="1" s="1"/>
  <c r="C34" i="1" s="1"/>
  <c r="F34" i="1" s="1"/>
  <c r="F20" i="1"/>
  <c r="C40" i="1"/>
  <c r="B40" i="1" s="1"/>
  <c r="C39" i="1"/>
  <c r="B3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Nanfeng Qin</author>
  </authors>
  <commentList>
    <comment ref="B7" authorId="0" shapeId="0" xr:uid="{11AF617B-90CD-4DF4-A601-DD9DD1D89D2D}">
      <text>
        <r>
          <rPr>
            <sz val="9"/>
            <color indexed="81"/>
            <rFont val="Tahoma"/>
            <family val="2"/>
          </rPr>
          <t xml:space="preserve">Use solver to minimize the loss, by changing the green cells.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<sst xmlns="http://schemas.openxmlformats.org/spreadsheetml/2006/main" count="83" uniqueCount="77">
  <si>
    <t>咖啡</t>
  </si>
  <si>
    <t>棉花</t>
  </si>
  <si>
    <t>染料</t>
  </si>
  <si>
    <t>鸦片</t>
  </si>
  <si>
    <t>茶叶</t>
  </si>
  <si>
    <t>烟草</t>
  </si>
  <si>
    <t>糖料</t>
  </si>
  <si>
    <t>香蕉</t>
  </si>
  <si>
    <t>丝绸</t>
  </si>
  <si>
    <t>橡胶</t>
  </si>
  <si>
    <t>base price</t>
  </si>
  <si>
    <t xml:space="preserve">infra. </t>
  </si>
  <si>
    <t>input 0</t>
  </si>
  <si>
    <t>input 1</t>
  </si>
  <si>
    <t>职员</t>
  </si>
  <si>
    <t>劳工</t>
  </si>
  <si>
    <t>技工</t>
  </si>
  <si>
    <t>农民</t>
  </si>
  <si>
    <t>贵族</t>
  </si>
  <si>
    <t>工程</t>
  </si>
  <si>
    <t>店主</t>
  </si>
  <si>
    <t>教士</t>
  </si>
  <si>
    <t>资本</t>
  </si>
  <si>
    <t>wages</t>
  </si>
  <si>
    <t>食品</t>
  </si>
  <si>
    <t>output</t>
  </si>
  <si>
    <t>纺织</t>
  </si>
  <si>
    <t>家具</t>
  </si>
  <si>
    <t>玻璃</t>
  </si>
  <si>
    <t>工具</t>
  </si>
  <si>
    <t>造纸</t>
  </si>
  <si>
    <t>化工</t>
  </si>
  <si>
    <t>炼钢</t>
  </si>
  <si>
    <t>艺术</t>
  </si>
  <si>
    <t>发电</t>
  </si>
  <si>
    <t>衣物</t>
  </si>
  <si>
    <t>高衣</t>
  </si>
  <si>
    <t>throughput</t>
  </si>
  <si>
    <t>动力</t>
  </si>
  <si>
    <t>input 2</t>
  </si>
  <si>
    <t>equi. price</t>
  </si>
  <si>
    <t>COGS</t>
  </si>
  <si>
    <t>total cost</t>
  </si>
  <si>
    <t>infra. Cost</t>
  </si>
  <si>
    <t>equi. P%</t>
  </si>
  <si>
    <t>水稻</t>
  </si>
  <si>
    <t>化肥</t>
  </si>
  <si>
    <t>炸药</t>
  </si>
  <si>
    <t>畜牧</t>
  </si>
  <si>
    <t>煤</t>
  </si>
  <si>
    <t>铁</t>
  </si>
  <si>
    <t>硫</t>
  </si>
  <si>
    <t>木</t>
  </si>
  <si>
    <t>运力</t>
  </si>
  <si>
    <t>infra</t>
  </si>
  <si>
    <t>N/A</t>
  </si>
  <si>
    <t>infra. waste</t>
  </si>
  <si>
    <t>calced eq. price</t>
  </si>
  <si>
    <t>食品厂</t>
  </si>
  <si>
    <t>m1</t>
  </si>
  <si>
    <t>谷物</t>
  </si>
  <si>
    <t>糖</t>
  </si>
  <si>
    <t>m2</t>
  </si>
  <si>
    <t>weight</t>
  </si>
  <si>
    <t>loss</t>
  </si>
  <si>
    <t>losses</t>
  </si>
  <si>
    <t>ratio</t>
  </si>
  <si>
    <t>total</t>
  </si>
  <si>
    <t>combi</t>
  </si>
  <si>
    <t>base wages</t>
  </si>
  <si>
    <t>mult.</t>
  </si>
  <si>
    <t>学者</t>
  </si>
  <si>
    <t>工会</t>
  </si>
  <si>
    <t>渔场</t>
  </si>
  <si>
    <t>de-nom</t>
  </si>
  <si>
    <t>resi-dual</t>
  </si>
  <si>
    <t>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</si>
</sst>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E+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ck">
        <color theme="0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ck">
        <color theme="0"/>
      </left>
      <right/>
      <top style="thick">
        <color theme="0"/>
      </top>
      <bottom style="thin">
        <color theme="1" tint="0.34998626667073579"/>
      </bottom>
      <diagonal/>
    </border>
    <border>
      <left/>
      <right/>
      <top style="thick">
        <color theme="0"/>
      </top>
      <bottom style="thin">
        <color theme="1" tint="0.34998626667073579"/>
      </bottom>
      <diagonal/>
    </border>
    <border>
      <left/>
      <right style="thick">
        <color theme="0"/>
      </right>
      <top style="thick">
        <color theme="0"/>
      </top>
      <bottom style="thin">
        <color theme="1" tint="0.34998626667073579"/>
      </bottom>
      <diagonal/>
    </border>
    <border>
      <left style="thick">
        <color theme="0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ck">
        <color theme="0"/>
      </right>
      <top style="thin">
        <color theme="1" tint="0.34998626667073579"/>
      </top>
      <bottom style="thin">
        <color theme="1" tint="0.34998626667073579"/>
      </bottom>
      <diagonal/>
    </border>
    <border>
      <left style="thick">
        <color theme="0"/>
      </left>
      <right style="thin">
        <color theme="1" tint="0.34998626667073579"/>
      </right>
      <top style="thin">
        <color theme="1" tint="0.34998626667073579"/>
      </top>
      <bottom style="thick">
        <color theme="0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ck">
        <color theme="0"/>
      </bottom>
      <diagonal/>
    </border>
    <border>
      <left style="thin">
        <color theme="1" tint="0.34998626667073579"/>
      </left>
      <right style="thick">
        <color theme="0"/>
      </right>
      <top style="thin">
        <color theme="1" tint="0.34998626667073579"/>
      </top>
      <bottom style="thick">
        <color theme="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2" xfId="0" applyFont="1" applyFill="1" applyBorder="1"/>
    <xf numFmtId="0" fontId="1" fillId="2" borderId="1" xfId="0" applyFont="1" applyFill="1" applyBorder="1"/>
    <xf numFmtId="1" fontId="1" fillId="2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1" fontId="1" fillId="2" borderId="0" xfId="0" applyNumberFormat="1" applyFont="1" applyFill="1"/>
    <xf numFmtId="9" fontId="1" fillId="2" borderId="1" xfId="0" applyNumberFormat="1" applyFont="1" applyFill="1" applyBorder="1"/>
    <xf numFmtId="1" fontId="1" fillId="3" borderId="1" xfId="0" applyNumberFormat="1" applyFont="1" applyFill="1" applyBorder="1"/>
    <xf numFmtId="1" fontId="1" fillId="2" borderId="3" xfId="0" applyNumberFormat="1" applyFont="1" applyFill="1" applyBorder="1"/>
    <xf numFmtId="1" fontId="1" fillId="2" borderId="5" xfId="0" applyNumberFormat="1" applyFont="1" applyFill="1" applyBorder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1" fontId="1" fillId="4" borderId="1" xfId="0" applyNumberFormat="1" applyFont="1" applyFill="1" applyBorder="1"/>
    <xf numFmtId="9" fontId="1" fillId="4" borderId="1" xfId="0" applyNumberFormat="1" applyFont="1" applyFill="1" applyBorder="1"/>
    <xf numFmtId="1" fontId="1" fillId="2" borderId="0" xfId="0" applyNumberFormat="1" applyFont="1" applyFill="1" applyAlignment="1">
      <alignment wrapText="1"/>
    </xf>
    <xf numFmtId="2" fontId="1" fillId="2" borderId="1" xfId="0" applyNumberFormat="1" applyFont="1" applyFill="1" applyBorder="1"/>
    <xf numFmtId="1" fontId="1" fillId="5" borderId="1" xfId="0" applyNumberFormat="1" applyFont="1" applyFill="1" applyBorder="1"/>
    <xf numFmtId="164" fontId="1" fillId="2" borderId="1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1" fontId="1" fillId="2" borderId="13" xfId="0" applyNumberFormat="1" applyFont="1" applyFill="1" applyBorder="1"/>
    <xf numFmtId="0" fontId="1" fillId="2" borderId="14" xfId="0" applyFont="1" applyFill="1" applyBorder="1"/>
    <xf numFmtId="164" fontId="1" fillId="2" borderId="15" xfId="0" applyNumberFormat="1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9" fontId="1" fillId="2" borderId="3" xfId="0" applyNumberFormat="1" applyFont="1" applyFill="1" applyBorder="1"/>
    <xf numFmtId="0" fontId="1" fillId="2" borderId="3" xfId="0" applyFont="1" applyFill="1" applyBorder="1" applyAlignment="1">
      <alignment wrapText="1"/>
    </xf>
    <xf numFmtId="9" fontId="1" fillId="2" borderId="5" xfId="0" applyNumberFormat="1" applyFont="1" applyFill="1" applyBorder="1"/>
    <xf numFmtId="0" fontId="1" fillId="2" borderId="5" xfId="0" applyFont="1" applyFill="1" applyBorder="1" applyAlignment="1">
      <alignment wrapText="1"/>
    </xf>
    <xf numFmtId="1" fontId="1" fillId="2" borderId="5" xfId="0" applyNumberFormat="1" applyFont="1" applyFill="1" applyBorder="1" applyAlignment="1">
      <alignment wrapText="1"/>
    </xf>
    <xf numFmtId="1" fontId="1" fillId="3" borderId="3" xfId="0" applyNumberFormat="1" applyFont="1" applyFill="1" applyBorder="1"/>
    <xf numFmtId="1" fontId="1" fillId="3" borderId="5" xfId="0" applyNumberFormat="1" applyFont="1" applyFill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"/>
  <sheetViews>
    <sheetView tabSelected="1" zoomScale="144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E12" sqref="E12"/>
    </sheetView>
  </sheetViews>
  <sheetFormatPr defaultRowHeight="14.5" x14ac:dyDescent="0.35"/>
  <cols>
    <col min="1" max="1" width="4.81640625" style="2" bestFit="1" customWidth="1"/>
    <col min="2" max="2" width="5" style="3" bestFit="1" customWidth="1"/>
    <col min="3" max="3" width="5" style="2" customWidth="1"/>
    <col min="4" max="5" width="6.81640625" style="3" bestFit="1" customWidth="1"/>
    <col min="6" max="6" width="7.90625" style="3" bestFit="1" customWidth="1"/>
    <col min="7" max="7" width="6.453125" style="2" bestFit="1" customWidth="1"/>
    <col min="8" max="8" width="4.90625" style="2" bestFit="1" customWidth="1"/>
    <col min="9" max="9" width="5.6328125" style="2" customWidth="1"/>
    <col min="10" max="10" width="5.26953125" style="2" bestFit="1" customWidth="1"/>
    <col min="11" max="11" width="6" style="2" bestFit="1" customWidth="1"/>
    <col min="12" max="13" width="6.6328125" style="2" bestFit="1" customWidth="1"/>
    <col min="14" max="14" width="6.6328125" style="2" customWidth="1"/>
    <col min="15" max="15" width="5.81640625" style="2" bestFit="1" customWidth="1"/>
    <col min="16" max="24" width="4.81640625" style="2" bestFit="1" customWidth="1"/>
    <col min="25" max="25" width="4.81640625" style="2" customWidth="1"/>
    <col min="26" max="26" width="6" style="2" bestFit="1" customWidth="1"/>
    <col min="27" max="27" width="5.81640625" style="2" bestFit="1" customWidth="1"/>
    <col min="28" max="28" width="8" style="3" bestFit="1" customWidth="1"/>
    <col min="29" max="16384" width="8.7265625" style="2"/>
  </cols>
  <sheetData>
    <row r="1" spans="1:28" hidden="1" x14ac:dyDescent="0.35"/>
    <row r="2" spans="1:28" hidden="1" x14ac:dyDescent="0.35"/>
    <row r="3" spans="1:28" hidden="1" x14ac:dyDescent="0.35"/>
    <row r="4" spans="1:28" hidden="1" x14ac:dyDescent="0.35"/>
    <row r="5" spans="1:28" hidden="1" x14ac:dyDescent="0.35"/>
    <row r="6" spans="1:28" hidden="1" x14ac:dyDescent="0.35"/>
    <row r="7" spans="1:28" x14ac:dyDescent="0.35">
      <c r="A7" s="2" t="s">
        <v>64</v>
      </c>
      <c r="B7" s="21">
        <f>(infra_p-B32)^2+(motor_p-AB30)^2</f>
        <v>1.4660197709295934E-14</v>
      </c>
      <c r="I7" s="41" t="s">
        <v>56</v>
      </c>
      <c r="J7" s="42"/>
      <c r="K7" s="2">
        <f>1.15 - 0.1</f>
        <v>1.0499999999999998</v>
      </c>
      <c r="N7" s="41" t="s">
        <v>69</v>
      </c>
      <c r="O7" s="42"/>
      <c r="P7" s="4">
        <v>29</v>
      </c>
      <c r="Q7" s="4">
        <v>11</v>
      </c>
      <c r="R7" s="4">
        <v>17</v>
      </c>
      <c r="S7" s="4">
        <v>18</v>
      </c>
      <c r="T7" s="4">
        <v>66</v>
      </c>
      <c r="U7" s="4">
        <v>12</v>
      </c>
      <c r="V7" s="4">
        <v>34</v>
      </c>
      <c r="W7" s="4">
        <v>17</v>
      </c>
      <c r="X7" s="4">
        <v>67</v>
      </c>
      <c r="Y7" s="4">
        <v>40</v>
      </c>
    </row>
    <row r="8" spans="1:28" x14ac:dyDescent="0.35">
      <c r="K8" s="22">
        <v>98.000735185177433</v>
      </c>
      <c r="N8" s="2" t="s">
        <v>70</v>
      </c>
      <c r="O8" s="4">
        <v>1</v>
      </c>
      <c r="P8" s="17">
        <f t="shared" ref="P8:Y8" si="0">P7*$O$8</f>
        <v>29</v>
      </c>
      <c r="Q8" s="17">
        <f t="shared" si="0"/>
        <v>11</v>
      </c>
      <c r="R8" s="17">
        <f t="shared" si="0"/>
        <v>17</v>
      </c>
      <c r="S8" s="17">
        <f t="shared" si="0"/>
        <v>18</v>
      </c>
      <c r="T8" s="17">
        <f t="shared" si="0"/>
        <v>66</v>
      </c>
      <c r="U8" s="17">
        <f t="shared" si="0"/>
        <v>12</v>
      </c>
      <c r="V8" s="17">
        <f t="shared" si="0"/>
        <v>34</v>
      </c>
      <c r="W8" s="17">
        <f t="shared" si="0"/>
        <v>17</v>
      </c>
      <c r="X8" s="17">
        <f t="shared" si="0"/>
        <v>67</v>
      </c>
      <c r="Y8" s="17">
        <f t="shared" si="0"/>
        <v>40</v>
      </c>
    </row>
    <row r="9" spans="1:28" s="5" customFormat="1" ht="29" x14ac:dyDescent="0.35">
      <c r="B9" s="7" t="s">
        <v>40</v>
      </c>
      <c r="C9" s="5" t="s">
        <v>44</v>
      </c>
      <c r="D9" s="7" t="s">
        <v>74</v>
      </c>
      <c r="E9" s="7" t="s">
        <v>75</v>
      </c>
      <c r="F9" s="7" t="s">
        <v>76</v>
      </c>
      <c r="G9" s="5" t="s">
        <v>25</v>
      </c>
      <c r="H9" s="5" t="s">
        <v>10</v>
      </c>
      <c r="I9" s="5" t="s">
        <v>37</v>
      </c>
      <c r="J9" s="5" t="s">
        <v>11</v>
      </c>
      <c r="K9" s="7" t="s">
        <v>43</v>
      </c>
      <c r="L9" s="5" t="s">
        <v>12</v>
      </c>
      <c r="M9" s="5" t="s">
        <v>13</v>
      </c>
      <c r="N9" s="5" t="s">
        <v>39</v>
      </c>
      <c r="O9" s="5" t="s">
        <v>41</v>
      </c>
      <c r="P9" s="6" t="s">
        <v>21</v>
      </c>
      <c r="Q9" s="6" t="s">
        <v>15</v>
      </c>
      <c r="R9" s="6" t="s">
        <v>16</v>
      </c>
      <c r="S9" s="6" t="s">
        <v>17</v>
      </c>
      <c r="T9" s="6" t="s">
        <v>18</v>
      </c>
      <c r="U9" s="6" t="s">
        <v>14</v>
      </c>
      <c r="V9" s="6" t="s">
        <v>19</v>
      </c>
      <c r="W9" s="6" t="s">
        <v>20</v>
      </c>
      <c r="X9" s="6" t="s">
        <v>22</v>
      </c>
      <c r="Y9" s="6" t="s">
        <v>71</v>
      </c>
      <c r="Z9" s="2" t="s">
        <v>23</v>
      </c>
      <c r="AA9" s="5" t="s">
        <v>42</v>
      </c>
      <c r="AB9" s="7" t="s">
        <v>57</v>
      </c>
    </row>
    <row r="10" spans="1:28" s="5" customFormat="1" x14ac:dyDescent="0.35">
      <c r="A10" s="5" t="s">
        <v>17</v>
      </c>
      <c r="B10" s="7"/>
      <c r="D10" s="7"/>
      <c r="E10" s="7"/>
      <c r="F10" s="7"/>
      <c r="I10" s="46">
        <v>0.1</v>
      </c>
      <c r="K10" s="7"/>
      <c r="N10" s="16"/>
      <c r="O10" s="16"/>
      <c r="P10" s="17"/>
      <c r="Q10" s="17"/>
      <c r="R10" s="17"/>
      <c r="S10" s="17"/>
      <c r="T10" s="17"/>
      <c r="U10" s="6"/>
      <c r="V10" s="6"/>
      <c r="W10" s="6"/>
      <c r="X10" s="6"/>
      <c r="Y10" s="6"/>
      <c r="Z10" s="2"/>
      <c r="AB10" s="7"/>
    </row>
    <row r="11" spans="1:28" s="5" customFormat="1" x14ac:dyDescent="0.35">
      <c r="A11" s="5" t="s">
        <v>45</v>
      </c>
      <c r="B11" s="3">
        <f>AA11/(G11*I11)</f>
        <v>18.629609357976538</v>
      </c>
      <c r="C11" s="12">
        <f>B11/H11-1</f>
        <v>-0.26348056026604383</v>
      </c>
      <c r="D11" s="13">
        <v>466000</v>
      </c>
      <c r="E11" s="13">
        <v>175000</v>
      </c>
      <c r="F11" s="3">
        <f t="shared" ref="F11:F23" si="1">(-D11*C11/0.75-E11)/G11/I11</f>
        <v>-83.020185451211589</v>
      </c>
      <c r="G11" s="5">
        <f>100-15</f>
        <v>85</v>
      </c>
      <c r="H11" s="7">
        <f>(20*85+H21*6+H20*9)/85</f>
        <v>25.294117647058822</v>
      </c>
      <c r="I11" s="5">
        <f>1.5+$I$10</f>
        <v>1.6</v>
      </c>
      <c r="J11" s="5">
        <v>1</v>
      </c>
      <c r="K11" s="3">
        <f>J11*$K$8*$K$7</f>
        <v>102.90077194443629</v>
      </c>
      <c r="L11" s="7">
        <f>20*B41</f>
        <v>672.15782581514372</v>
      </c>
      <c r="M11" s="7">
        <f>1*B26</f>
        <v>41.757525609127647</v>
      </c>
      <c r="N11" s="20"/>
      <c r="O11" s="11">
        <f>SUM(L11:N11)*I11</f>
        <v>1142.2645622788343</v>
      </c>
      <c r="P11" s="16">
        <v>200</v>
      </c>
      <c r="Q11" s="16">
        <v>3000</v>
      </c>
      <c r="R11" s="16"/>
      <c r="S11" s="16">
        <v>1200</v>
      </c>
      <c r="T11" s="16">
        <v>100</v>
      </c>
      <c r="Z11" s="2">
        <f>SUMPRODUCT($P$8:$Y$8,P11:Y11)/52</f>
        <v>1288.4615384615386</v>
      </c>
      <c r="AA11" s="3">
        <f>K11+O11+Z11</f>
        <v>2533.6268726848093</v>
      </c>
      <c r="AB11" s="7"/>
    </row>
    <row r="12" spans="1:28" s="5" customFormat="1" x14ac:dyDescent="0.35">
      <c r="A12" s="5" t="s">
        <v>48</v>
      </c>
      <c r="B12" s="3">
        <f>AA12/(G12*I12)</f>
        <v>30.237796324445071</v>
      </c>
      <c r="C12" s="12">
        <f>B12/H12-1</f>
        <v>7.9265441481690679E-3</v>
      </c>
      <c r="D12" s="13">
        <v>81100</v>
      </c>
      <c r="E12" s="13">
        <v>-6810</v>
      </c>
      <c r="F12" s="3">
        <f t="shared" si="1"/>
        <v>148.82190898611628</v>
      </c>
      <c r="G12" s="5">
        <v>25</v>
      </c>
      <c r="H12" s="7">
        <v>30</v>
      </c>
      <c r="I12" s="5">
        <f t="shared" ref="I12:I23" si="2">1.5+$I$10</f>
        <v>1.6</v>
      </c>
      <c r="J12" s="5">
        <v>1</v>
      </c>
      <c r="K12" s="3">
        <f t="shared" ref="K12:K37" si="3">J12*$K$8*$K$7</f>
        <v>102.90077194443629</v>
      </c>
      <c r="L12" s="7">
        <f>10*B11+10*tool_p</f>
        <v>603.8713496710418</v>
      </c>
      <c r="M12" s="7">
        <f>-40*B15-10*B41</f>
        <v>-772.19524212263741</v>
      </c>
      <c r="N12" s="20">
        <f>3*iron_p+7*elec_p+3*trans_p</f>
        <v>486.1577411743728</v>
      </c>
      <c r="O12" s="11">
        <f>SUM(L12:N12)*I12</f>
        <v>508.53415795644355</v>
      </c>
      <c r="P12" s="16">
        <v>100</v>
      </c>
      <c r="Q12" s="16">
        <v>0</v>
      </c>
      <c r="R12" s="16"/>
      <c r="S12" s="16">
        <v>1200</v>
      </c>
      <c r="T12" s="16">
        <v>100</v>
      </c>
      <c r="Z12" s="2">
        <f t="shared" ref="Z12:Z37" si="4">SUMPRODUCT($P$8:$Y$8,P12:Y12)/52</f>
        <v>598.07692307692309</v>
      </c>
      <c r="AA12" s="3">
        <f>K12+O12+Z12</f>
        <v>1209.5118529778028</v>
      </c>
      <c r="AB12" s="7"/>
    </row>
    <row r="13" spans="1:28" s="5" customFormat="1" x14ac:dyDescent="0.35">
      <c r="A13" s="5" t="s">
        <v>73</v>
      </c>
      <c r="B13" s="3">
        <f>AA13/(G13*I13)</f>
        <v>20.463918241793944</v>
      </c>
      <c r="C13" s="12">
        <f>B13/H13-1</f>
        <v>2.3195912089697179E-2</v>
      </c>
      <c r="D13" s="13"/>
      <c r="E13" s="13"/>
      <c r="F13" s="3">
        <f t="shared" si="1"/>
        <v>0</v>
      </c>
      <c r="G13" s="5">
        <v>100</v>
      </c>
      <c r="H13" s="7">
        <v>20</v>
      </c>
      <c r="I13" s="5">
        <v>1.05</v>
      </c>
      <c r="J13" s="5">
        <v>1</v>
      </c>
      <c r="K13" s="3">
        <f t="shared" si="3"/>
        <v>102.90077194443629</v>
      </c>
      <c r="L13" s="7">
        <f>15*coal_p</f>
        <v>450</v>
      </c>
      <c r="M13" s="7">
        <f>5*trans_p+5*elec_p</f>
        <v>251.50464210777028</v>
      </c>
      <c r="N13" s="20">
        <f>5*60</f>
        <v>300</v>
      </c>
      <c r="O13" s="11">
        <f>SUM(L13:N13)*I13</f>
        <v>1051.5798742131587</v>
      </c>
      <c r="P13" s="16"/>
      <c r="Q13" s="16">
        <v>1000</v>
      </c>
      <c r="R13" s="16">
        <v>1000</v>
      </c>
      <c r="S13" s="16"/>
      <c r="T13" s="16"/>
      <c r="V13" s="5">
        <v>500</v>
      </c>
      <c r="X13" s="5">
        <v>100</v>
      </c>
      <c r="Z13" s="2">
        <f t="shared" ref="Z13" si="5">SUMPRODUCT($P$8:$Y$8,P13:Y13)/52</f>
        <v>994.23076923076928</v>
      </c>
      <c r="AA13" s="3">
        <f>K13+O13+Z13</f>
        <v>2148.711415388364</v>
      </c>
      <c r="AB13" s="7"/>
    </row>
    <row r="14" spans="1:28" x14ac:dyDescent="0.35">
      <c r="A14" s="2" t="s">
        <v>0</v>
      </c>
      <c r="B14" s="13">
        <v>72</v>
      </c>
      <c r="C14" s="12">
        <f>B14/H14-1</f>
        <v>0.43999999999999995</v>
      </c>
      <c r="D14" s="13"/>
      <c r="E14" s="13"/>
      <c r="F14" s="3">
        <f t="shared" si="1"/>
        <v>0</v>
      </c>
      <c r="G14" s="2">
        <v>40</v>
      </c>
      <c r="H14" s="3">
        <v>50</v>
      </c>
      <c r="I14" s="5">
        <f t="shared" si="2"/>
        <v>1.6</v>
      </c>
      <c r="J14" s="2">
        <v>1</v>
      </c>
      <c r="K14" s="3">
        <f t="shared" si="3"/>
        <v>102.90077194443629</v>
      </c>
      <c r="L14" s="3">
        <f t="shared" ref="L14:L23" si="6">5*motor_p</f>
        <v>299.40019659550717</v>
      </c>
      <c r="M14" s="3">
        <f t="shared" ref="M14:M23" si="7">5*trans_p</f>
        <v>94.935947220631945</v>
      </c>
      <c r="N14" s="11"/>
      <c r="O14" s="11">
        <f>SUM(L14:N14)*I14</f>
        <v>630.93783010582263</v>
      </c>
      <c r="P14" s="1">
        <v>100</v>
      </c>
      <c r="Q14" s="1">
        <v>2000</v>
      </c>
      <c r="R14" s="1">
        <v>500</v>
      </c>
      <c r="S14" s="1">
        <v>1200</v>
      </c>
      <c r="T14" s="1">
        <v>100</v>
      </c>
      <c r="Z14" s="2">
        <f t="shared" si="4"/>
        <v>1184.6153846153845</v>
      </c>
      <c r="AA14" s="3">
        <f>K14+O14+Z14</f>
        <v>1918.4539866656435</v>
      </c>
    </row>
    <row r="15" spans="1:28" x14ac:dyDescent="0.35">
      <c r="A15" s="2" t="s">
        <v>1</v>
      </c>
      <c r="B15" s="3">
        <f t="shared" ref="B15:B37" si="8">AA15/(G15*I15)</f>
        <v>10.902908230376639</v>
      </c>
      <c r="C15" s="12">
        <f t="shared" ref="C15:C37" si="9">B15/H15-1</f>
        <v>-0.45485458848116811</v>
      </c>
      <c r="D15" s="13">
        <v>451000</v>
      </c>
      <c r="E15" s="13">
        <v>177000</v>
      </c>
      <c r="F15" s="3">
        <f t="shared" si="1"/>
        <v>521.72554526131046</v>
      </c>
      <c r="G15" s="2">
        <v>100</v>
      </c>
      <c r="H15" s="3">
        <v>20</v>
      </c>
      <c r="I15" s="5">
        <f>1.75+$I$10</f>
        <v>1.85</v>
      </c>
      <c r="J15" s="2">
        <v>1</v>
      </c>
      <c r="K15" s="3">
        <f t="shared" si="3"/>
        <v>102.90077194443629</v>
      </c>
      <c r="L15" s="3">
        <f t="shared" si="6"/>
        <v>299.40019659550717</v>
      </c>
      <c r="M15" s="3">
        <f t="shared" si="7"/>
        <v>94.935947220631945</v>
      </c>
      <c r="N15" s="11"/>
      <c r="O15" s="11">
        <f t="shared" ref="O15:O37" si="10">SUM(L15:N15)*I15</f>
        <v>729.52186605985742</v>
      </c>
      <c r="P15" s="1">
        <v>100</v>
      </c>
      <c r="Q15" s="1">
        <v>2000</v>
      </c>
      <c r="R15" s="1">
        <v>500</v>
      </c>
      <c r="S15" s="1">
        <v>1200</v>
      </c>
      <c r="T15" s="1">
        <v>100</v>
      </c>
      <c r="Z15" s="2">
        <f t="shared" si="4"/>
        <v>1184.6153846153845</v>
      </c>
      <c r="AA15" s="3">
        <f t="shared" ref="AA15:AA37" si="11">K15+O15+Z15</f>
        <v>2017.0380226196783</v>
      </c>
    </row>
    <row r="16" spans="1:28" x14ac:dyDescent="0.35">
      <c r="A16" s="2" t="s">
        <v>2</v>
      </c>
      <c r="B16" s="13">
        <v>45</v>
      </c>
      <c r="C16" s="12">
        <f t="shared" si="9"/>
        <v>0.125</v>
      </c>
      <c r="D16" s="13"/>
      <c r="E16" s="13"/>
      <c r="F16" s="3">
        <f t="shared" si="1"/>
        <v>0</v>
      </c>
      <c r="G16" s="2">
        <v>50</v>
      </c>
      <c r="H16" s="3">
        <v>40</v>
      </c>
      <c r="I16" s="5">
        <f t="shared" si="2"/>
        <v>1.6</v>
      </c>
      <c r="J16" s="2">
        <v>1</v>
      </c>
      <c r="K16" s="3">
        <f t="shared" si="3"/>
        <v>102.90077194443629</v>
      </c>
      <c r="L16" s="3">
        <f t="shared" si="6"/>
        <v>299.40019659550717</v>
      </c>
      <c r="M16" s="3">
        <f t="shared" si="7"/>
        <v>94.935947220631945</v>
      </c>
      <c r="N16" s="11"/>
      <c r="O16" s="11">
        <f t="shared" si="10"/>
        <v>630.93783010582263</v>
      </c>
      <c r="P16" s="1">
        <v>100</v>
      </c>
      <c r="Q16" s="1">
        <v>2000</v>
      </c>
      <c r="R16" s="1">
        <v>500</v>
      </c>
      <c r="S16" s="1">
        <v>1200</v>
      </c>
      <c r="T16" s="1">
        <v>100</v>
      </c>
      <c r="Z16" s="2">
        <f t="shared" si="4"/>
        <v>1184.6153846153845</v>
      </c>
      <c r="AA16" s="3">
        <f t="shared" si="11"/>
        <v>1918.4539866656435</v>
      </c>
    </row>
    <row r="17" spans="1:28" x14ac:dyDescent="0.35">
      <c r="A17" s="2" t="s">
        <v>3</v>
      </c>
      <c r="B17" s="13">
        <v>53</v>
      </c>
      <c r="C17" s="12">
        <f t="shared" si="9"/>
        <v>6.0000000000000053E-2</v>
      </c>
      <c r="D17" s="13"/>
      <c r="E17" s="13"/>
      <c r="F17" s="3">
        <f t="shared" si="1"/>
        <v>0</v>
      </c>
      <c r="G17" s="2">
        <v>50</v>
      </c>
      <c r="H17" s="3">
        <v>50</v>
      </c>
      <c r="I17" s="5">
        <f t="shared" si="2"/>
        <v>1.6</v>
      </c>
      <c r="J17" s="2">
        <v>1</v>
      </c>
      <c r="K17" s="3">
        <f t="shared" si="3"/>
        <v>102.90077194443629</v>
      </c>
      <c r="L17" s="3">
        <f t="shared" si="6"/>
        <v>299.40019659550717</v>
      </c>
      <c r="M17" s="3">
        <f t="shared" si="7"/>
        <v>94.935947220631945</v>
      </c>
      <c r="N17" s="11"/>
      <c r="O17" s="11">
        <f t="shared" si="10"/>
        <v>630.93783010582263</v>
      </c>
      <c r="P17" s="1">
        <v>100</v>
      </c>
      <c r="Q17" s="1">
        <v>2000</v>
      </c>
      <c r="R17" s="1">
        <v>500</v>
      </c>
      <c r="S17" s="1">
        <v>1200</v>
      </c>
      <c r="T17" s="1">
        <v>100</v>
      </c>
      <c r="Z17" s="2">
        <f t="shared" si="4"/>
        <v>1184.6153846153845</v>
      </c>
      <c r="AA17" s="3">
        <f t="shared" si="11"/>
        <v>1918.4539866656435</v>
      </c>
    </row>
    <row r="18" spans="1:28" x14ac:dyDescent="0.35">
      <c r="A18" s="2" t="s">
        <v>4</v>
      </c>
      <c r="B18" s="3">
        <f t="shared" si="8"/>
        <v>29.975843541650679</v>
      </c>
      <c r="C18" s="12">
        <f t="shared" si="9"/>
        <v>-0.40048312916698636</v>
      </c>
      <c r="D18" s="13">
        <v>220000</v>
      </c>
      <c r="E18" s="13">
        <v>98800</v>
      </c>
      <c r="F18" s="3">
        <f t="shared" si="1"/>
        <v>291.79767534868756</v>
      </c>
      <c r="G18" s="2">
        <v>40</v>
      </c>
      <c r="H18" s="3">
        <v>50</v>
      </c>
      <c r="I18" s="5">
        <f t="shared" si="2"/>
        <v>1.6</v>
      </c>
      <c r="J18" s="2">
        <v>1</v>
      </c>
      <c r="K18" s="3">
        <f t="shared" si="3"/>
        <v>102.90077194443629</v>
      </c>
      <c r="L18" s="3">
        <f t="shared" si="6"/>
        <v>299.40019659550717</v>
      </c>
      <c r="M18" s="3">
        <f t="shared" si="7"/>
        <v>94.935947220631945</v>
      </c>
      <c r="N18" s="11"/>
      <c r="O18" s="11">
        <f t="shared" si="10"/>
        <v>630.93783010582263</v>
      </c>
      <c r="P18" s="1">
        <v>100</v>
      </c>
      <c r="Q18" s="1">
        <v>2000</v>
      </c>
      <c r="R18" s="1">
        <v>500</v>
      </c>
      <c r="S18" s="1">
        <v>1200</v>
      </c>
      <c r="T18" s="1">
        <v>100</v>
      </c>
      <c r="Z18" s="2">
        <f t="shared" si="4"/>
        <v>1184.6153846153845</v>
      </c>
      <c r="AA18" s="3">
        <f t="shared" si="11"/>
        <v>1918.4539866656435</v>
      </c>
    </row>
    <row r="19" spans="1:28" x14ac:dyDescent="0.35">
      <c r="A19" s="2" t="s">
        <v>5</v>
      </c>
      <c r="B19" s="3">
        <f t="shared" si="8"/>
        <v>23.980674833320542</v>
      </c>
      <c r="C19" s="12">
        <f t="shared" si="9"/>
        <v>-0.40048312916698647</v>
      </c>
      <c r="D19" s="13">
        <v>182000</v>
      </c>
      <c r="E19" s="13">
        <v>80900</v>
      </c>
      <c r="F19" s="3">
        <f t="shared" si="1"/>
        <v>203.54882513985885</v>
      </c>
      <c r="G19" s="2">
        <v>50</v>
      </c>
      <c r="H19" s="3">
        <v>40</v>
      </c>
      <c r="I19" s="5">
        <f t="shared" si="2"/>
        <v>1.6</v>
      </c>
      <c r="J19" s="2">
        <v>1</v>
      </c>
      <c r="K19" s="3">
        <f t="shared" si="3"/>
        <v>102.90077194443629</v>
      </c>
      <c r="L19" s="3">
        <f t="shared" si="6"/>
        <v>299.40019659550717</v>
      </c>
      <c r="M19" s="3">
        <f t="shared" si="7"/>
        <v>94.935947220631945</v>
      </c>
      <c r="N19" s="11"/>
      <c r="O19" s="11">
        <f t="shared" si="10"/>
        <v>630.93783010582263</v>
      </c>
      <c r="P19" s="1">
        <v>100</v>
      </c>
      <c r="Q19" s="1">
        <v>2000</v>
      </c>
      <c r="R19" s="1">
        <v>500</v>
      </c>
      <c r="S19" s="1">
        <v>1200</v>
      </c>
      <c r="T19" s="1">
        <v>100</v>
      </c>
      <c r="Z19" s="2">
        <f t="shared" si="4"/>
        <v>1184.6153846153845</v>
      </c>
      <c r="AA19" s="3">
        <f t="shared" si="11"/>
        <v>1918.4539866656435</v>
      </c>
    </row>
    <row r="20" spans="1:28" x14ac:dyDescent="0.35">
      <c r="A20" s="2" t="s">
        <v>6</v>
      </c>
      <c r="B20" s="18">
        <f>H20*(1+C20)</f>
        <v>22.095583192018687</v>
      </c>
      <c r="C20" s="19">
        <f>C11</f>
        <v>-0.26348056026604383</v>
      </c>
      <c r="D20" s="13"/>
      <c r="E20" s="13"/>
      <c r="F20" s="3">
        <f t="shared" si="1"/>
        <v>0</v>
      </c>
      <c r="G20" s="2">
        <v>60</v>
      </c>
      <c r="H20" s="3">
        <v>30</v>
      </c>
      <c r="I20" s="5">
        <f t="shared" si="2"/>
        <v>1.6</v>
      </c>
      <c r="J20" s="2">
        <v>1</v>
      </c>
      <c r="K20" s="3">
        <f t="shared" si="3"/>
        <v>102.90077194443629</v>
      </c>
      <c r="L20" s="3">
        <f t="shared" si="6"/>
        <v>299.40019659550717</v>
      </c>
      <c r="M20" s="3">
        <f t="shared" si="7"/>
        <v>94.935947220631945</v>
      </c>
      <c r="N20" s="11"/>
      <c r="O20" s="11">
        <f t="shared" si="10"/>
        <v>630.93783010582263</v>
      </c>
      <c r="P20" s="1">
        <v>100</v>
      </c>
      <c r="Q20" s="1">
        <v>2000</v>
      </c>
      <c r="R20" s="1">
        <v>500</v>
      </c>
      <c r="S20" s="1">
        <v>1200</v>
      </c>
      <c r="T20" s="1">
        <v>100</v>
      </c>
      <c r="Z20" s="2">
        <f t="shared" si="4"/>
        <v>1184.6153846153845</v>
      </c>
      <c r="AA20" s="3">
        <f t="shared" si="11"/>
        <v>1918.4539866656435</v>
      </c>
    </row>
    <row r="21" spans="1:28" x14ac:dyDescent="0.35">
      <c r="A21" s="2" t="s">
        <v>7</v>
      </c>
      <c r="B21" s="3">
        <f t="shared" si="8"/>
        <v>19.983895694433787</v>
      </c>
      <c r="C21" s="12">
        <f t="shared" si="9"/>
        <v>-0.33387014351887379</v>
      </c>
      <c r="D21" s="13"/>
      <c r="E21" s="13"/>
      <c r="F21" s="3">
        <f t="shared" si="1"/>
        <v>0</v>
      </c>
      <c r="G21" s="2">
        <v>60</v>
      </c>
      <c r="H21" s="3">
        <v>30</v>
      </c>
      <c r="I21" s="5">
        <f t="shared" si="2"/>
        <v>1.6</v>
      </c>
      <c r="J21" s="2">
        <v>1</v>
      </c>
      <c r="K21" s="3">
        <f t="shared" si="3"/>
        <v>102.90077194443629</v>
      </c>
      <c r="L21" s="3">
        <f t="shared" si="6"/>
        <v>299.40019659550717</v>
      </c>
      <c r="M21" s="3">
        <f t="shared" si="7"/>
        <v>94.935947220631945</v>
      </c>
      <c r="N21" s="11"/>
      <c r="O21" s="11">
        <f t="shared" si="10"/>
        <v>630.93783010582263</v>
      </c>
      <c r="P21" s="1">
        <v>100</v>
      </c>
      <c r="Q21" s="1">
        <v>2000</v>
      </c>
      <c r="R21" s="1">
        <v>500</v>
      </c>
      <c r="S21" s="1">
        <v>1200</v>
      </c>
      <c r="T21" s="1">
        <v>100</v>
      </c>
      <c r="Z21" s="2">
        <f t="shared" si="4"/>
        <v>1184.6153846153845</v>
      </c>
      <c r="AA21" s="3">
        <f t="shared" si="11"/>
        <v>1918.4539866656435</v>
      </c>
    </row>
    <row r="22" spans="1:28" x14ac:dyDescent="0.35">
      <c r="A22" s="2" t="s">
        <v>8</v>
      </c>
      <c r="B22" s="3">
        <f t="shared" si="8"/>
        <v>27.257270575941597</v>
      </c>
      <c r="C22" s="12">
        <f t="shared" si="9"/>
        <v>-0.31856823560146008</v>
      </c>
      <c r="D22" s="13">
        <v>132000</v>
      </c>
      <c r="E22" s="13">
        <v>40300</v>
      </c>
      <c r="F22" s="3">
        <f t="shared" si="1"/>
        <v>213.08120899806718</v>
      </c>
      <c r="G22" s="2">
        <v>40</v>
      </c>
      <c r="H22" s="3">
        <v>40</v>
      </c>
      <c r="I22" s="5">
        <f>1.75+$I$10</f>
        <v>1.85</v>
      </c>
      <c r="J22" s="2">
        <v>1</v>
      </c>
      <c r="K22" s="3">
        <f t="shared" si="3"/>
        <v>102.90077194443629</v>
      </c>
      <c r="L22" s="3">
        <f t="shared" si="6"/>
        <v>299.40019659550717</v>
      </c>
      <c r="M22" s="3">
        <f t="shared" si="7"/>
        <v>94.935947220631945</v>
      </c>
      <c r="N22" s="11"/>
      <c r="O22" s="11">
        <f t="shared" si="10"/>
        <v>729.52186605985742</v>
      </c>
      <c r="P22" s="1">
        <v>100</v>
      </c>
      <c r="Q22" s="1">
        <v>2000</v>
      </c>
      <c r="R22" s="1">
        <v>500</v>
      </c>
      <c r="S22" s="1">
        <v>1200</v>
      </c>
      <c r="T22" s="1">
        <v>100</v>
      </c>
      <c r="Z22" s="2">
        <f t="shared" si="4"/>
        <v>1184.6153846153845</v>
      </c>
      <c r="AA22" s="3">
        <f t="shared" si="11"/>
        <v>2017.0380226196783</v>
      </c>
    </row>
    <row r="23" spans="1:28" s="8" customFormat="1" ht="15" thickBot="1" x14ac:dyDescent="0.4">
      <c r="A23" s="8" t="s">
        <v>9</v>
      </c>
      <c r="B23" s="14">
        <f t="shared" si="8"/>
        <v>19.983895694433787</v>
      </c>
      <c r="C23" s="34">
        <f t="shared" si="9"/>
        <v>-0.50040260763915534</v>
      </c>
      <c r="D23" s="39"/>
      <c r="E23" s="39"/>
      <c r="F23" s="3">
        <f t="shared" si="1"/>
        <v>0</v>
      </c>
      <c r="G23" s="8">
        <v>60</v>
      </c>
      <c r="H23" s="14">
        <v>40</v>
      </c>
      <c r="I23" s="35">
        <f t="shared" si="2"/>
        <v>1.6</v>
      </c>
      <c r="J23" s="8">
        <v>1</v>
      </c>
      <c r="K23" s="14">
        <f t="shared" si="3"/>
        <v>102.90077194443629</v>
      </c>
      <c r="L23" s="3">
        <f t="shared" si="6"/>
        <v>299.40019659550717</v>
      </c>
      <c r="M23" s="3">
        <f t="shared" si="7"/>
        <v>94.935947220631945</v>
      </c>
      <c r="N23" s="11"/>
      <c r="O23" s="11">
        <f t="shared" si="10"/>
        <v>630.93783010582263</v>
      </c>
      <c r="P23" s="9">
        <v>100</v>
      </c>
      <c r="Q23" s="9">
        <v>2000</v>
      </c>
      <c r="R23" s="9">
        <v>500</v>
      </c>
      <c r="S23" s="9">
        <v>1200</v>
      </c>
      <c r="T23" s="9">
        <v>100</v>
      </c>
      <c r="Z23" s="8">
        <f t="shared" si="4"/>
        <v>1184.6153846153845</v>
      </c>
      <c r="AA23" s="14">
        <f t="shared" si="11"/>
        <v>1918.4539866656435</v>
      </c>
      <c r="AB23" s="14"/>
    </row>
    <row r="24" spans="1:28" s="10" customFormat="1" ht="15" thickTop="1" x14ac:dyDescent="0.35">
      <c r="A24" s="37" t="s">
        <v>72</v>
      </c>
      <c r="B24" s="38"/>
      <c r="C24" s="37"/>
      <c r="D24" s="38"/>
      <c r="E24" s="38"/>
      <c r="F24" s="38"/>
      <c r="G24" s="37"/>
      <c r="H24" s="37"/>
      <c r="I24" s="47">
        <v>0.2</v>
      </c>
      <c r="K24" s="15"/>
      <c r="L24" s="15"/>
      <c r="M24" s="15"/>
      <c r="N24" s="15"/>
      <c r="O24" s="15"/>
      <c r="AA24" s="15"/>
      <c r="AB24" s="15"/>
    </row>
    <row r="25" spans="1:28" x14ac:dyDescent="0.35">
      <c r="A25" s="2" t="s">
        <v>28</v>
      </c>
      <c r="B25" s="3">
        <f t="shared" si="8"/>
        <v>129.91610875691254</v>
      </c>
      <c r="C25" s="12">
        <f t="shared" si="9"/>
        <v>0.18105553415375031</v>
      </c>
      <c r="D25" s="13"/>
      <c r="E25" s="13"/>
      <c r="F25" s="3">
        <f t="shared" ref="F25:F29" si="12">(-D25*C25/0.75-E25)/G25/I25</f>
        <v>0</v>
      </c>
      <c r="G25" s="2">
        <v>20</v>
      </c>
      <c r="H25" s="3">
        <f>(20*40+20*70)/20</f>
        <v>110</v>
      </c>
      <c r="I25" s="2">
        <f>1.5+$I$24</f>
        <v>1.7</v>
      </c>
      <c r="J25" s="2">
        <v>2</v>
      </c>
      <c r="K25" s="3">
        <f t="shared" si="3"/>
        <v>205.80154388887257</v>
      </c>
      <c r="L25" s="3">
        <f>30*wood_p</f>
        <v>1050</v>
      </c>
      <c r="M25" s="3">
        <f>15*B16</f>
        <v>675</v>
      </c>
      <c r="N25" s="3"/>
      <c r="O25" s="3">
        <f t="shared" si="10"/>
        <v>2932.5</v>
      </c>
      <c r="Q25" s="2">
        <v>4500</v>
      </c>
      <c r="W25" s="2">
        <v>1000</v>
      </c>
      <c r="Z25" s="2">
        <f t="shared" si="4"/>
        <v>1278.8461538461538</v>
      </c>
      <c r="AA25" s="3">
        <f t="shared" si="11"/>
        <v>4417.1476977350267</v>
      </c>
    </row>
    <row r="26" spans="1:28" x14ac:dyDescent="0.35">
      <c r="A26" s="2" t="s">
        <v>29</v>
      </c>
      <c r="B26" s="3">
        <f t="shared" si="8"/>
        <v>41.757525609127647</v>
      </c>
      <c r="C26" s="12">
        <f t="shared" si="9"/>
        <v>4.3938140228191092E-2</v>
      </c>
      <c r="D26" s="13">
        <v>161000</v>
      </c>
      <c r="E26" s="13">
        <v>-8960</v>
      </c>
      <c r="F26" s="3">
        <f t="shared" si="12"/>
        <v>-3.4709860464584863</v>
      </c>
      <c r="G26" s="2">
        <v>80</v>
      </c>
      <c r="H26" s="3">
        <v>40</v>
      </c>
      <c r="I26" s="2">
        <f t="shared" ref="I26:I31" si="13">1.5+$I$24</f>
        <v>1.7</v>
      </c>
      <c r="J26" s="2">
        <v>2</v>
      </c>
      <c r="K26" s="3">
        <f t="shared" si="3"/>
        <v>205.80154388887257</v>
      </c>
      <c r="L26" s="3">
        <f>30*wood_p</f>
        <v>1050</v>
      </c>
      <c r="M26" s="3">
        <f>20*steel_p</f>
        <v>1335.8319097910564</v>
      </c>
      <c r="N26" s="3"/>
      <c r="O26" s="3">
        <f t="shared" si="10"/>
        <v>4055.9142466447956</v>
      </c>
      <c r="Q26" s="2">
        <v>3000</v>
      </c>
      <c r="R26" s="2">
        <v>1000</v>
      </c>
      <c r="V26" s="2">
        <v>500</v>
      </c>
      <c r="X26" s="2">
        <v>100</v>
      </c>
      <c r="Z26" s="2">
        <f t="shared" si="4"/>
        <v>1417.3076923076924</v>
      </c>
      <c r="AA26" s="3">
        <f t="shared" si="11"/>
        <v>5679.0234828413604</v>
      </c>
    </row>
    <row r="27" spans="1:28" x14ac:dyDescent="0.35">
      <c r="A27" s="2" t="s">
        <v>30</v>
      </c>
      <c r="B27" s="3">
        <f t="shared" si="8"/>
        <v>30.547701389391559</v>
      </c>
      <c r="C27" s="12">
        <f t="shared" si="9"/>
        <v>1.8256712979718648E-2</v>
      </c>
      <c r="D27" s="13">
        <v>158000</v>
      </c>
      <c r="E27" s="13">
        <v>1610</v>
      </c>
      <c r="F27" s="3">
        <f t="shared" si="12"/>
        <v>-32.09459333957291</v>
      </c>
      <c r="G27" s="2">
        <v>100</v>
      </c>
      <c r="H27" s="3">
        <v>30</v>
      </c>
      <c r="I27" s="2">
        <f t="shared" si="13"/>
        <v>1.7</v>
      </c>
      <c r="J27" s="2">
        <v>2</v>
      </c>
      <c r="K27" s="3">
        <f t="shared" si="3"/>
        <v>205.80154388887257</v>
      </c>
      <c r="L27" s="3">
        <f>30*wood_p</f>
        <v>1050</v>
      </c>
      <c r="M27" s="3">
        <f>10*B16</f>
        <v>450</v>
      </c>
      <c r="N27" s="3">
        <f>10*sulfur_p</f>
        <v>600</v>
      </c>
      <c r="O27" s="3">
        <f t="shared" si="10"/>
        <v>3570</v>
      </c>
      <c r="Q27" s="2">
        <v>3000</v>
      </c>
      <c r="R27" s="2">
        <v>1000</v>
      </c>
      <c r="V27" s="2">
        <v>500</v>
      </c>
      <c r="X27" s="2">
        <v>100</v>
      </c>
      <c r="Z27" s="2">
        <f t="shared" si="4"/>
        <v>1417.3076923076924</v>
      </c>
      <c r="AA27" s="3">
        <f t="shared" si="11"/>
        <v>5193.1092361965648</v>
      </c>
    </row>
    <row r="28" spans="1:28" x14ac:dyDescent="0.35">
      <c r="A28" s="2" t="s">
        <v>31</v>
      </c>
      <c r="B28" s="3">
        <f t="shared" si="8"/>
        <v>69.252624477923902</v>
      </c>
      <c r="C28" s="12">
        <f t="shared" si="9"/>
        <v>0.1202630430252396</v>
      </c>
      <c r="D28" s="13">
        <v>171000</v>
      </c>
      <c r="E28" s="13">
        <v>-13700</v>
      </c>
      <c r="F28" s="3">
        <f t="shared" si="12"/>
        <v>-73.368843902431195</v>
      </c>
      <c r="G28" s="2">
        <v>110</v>
      </c>
      <c r="H28" s="3">
        <f>(110*H41+70*H42)/110</f>
        <v>61.81818181818182</v>
      </c>
      <c r="I28" s="2">
        <f t="shared" si="13"/>
        <v>1.7</v>
      </c>
      <c r="J28" s="2">
        <v>3</v>
      </c>
      <c r="K28" s="3">
        <f t="shared" si="3"/>
        <v>308.70231583330889</v>
      </c>
      <c r="L28" s="3">
        <f>15*coal_p</f>
        <v>450</v>
      </c>
      <c r="M28" s="3">
        <f>30*iron_p</f>
        <v>2100</v>
      </c>
      <c r="N28" s="3">
        <f>60*sulfur_p</f>
        <v>3600</v>
      </c>
      <c r="O28" s="3">
        <f t="shared" si="10"/>
        <v>10455</v>
      </c>
      <c r="Q28" s="2">
        <v>2000</v>
      </c>
      <c r="R28" s="2">
        <v>1500</v>
      </c>
      <c r="V28" s="2">
        <v>1750</v>
      </c>
      <c r="X28" s="2">
        <v>100</v>
      </c>
      <c r="Z28" s="2">
        <f t="shared" si="4"/>
        <v>2186.5384615384614</v>
      </c>
      <c r="AA28" s="3">
        <f t="shared" si="11"/>
        <v>12950.24077737177</v>
      </c>
    </row>
    <row r="29" spans="1:28" x14ac:dyDescent="0.35">
      <c r="A29" s="2" t="s">
        <v>32</v>
      </c>
      <c r="B29" s="3">
        <f t="shared" si="8"/>
        <v>66.791595489552819</v>
      </c>
      <c r="C29" s="12">
        <f t="shared" si="9"/>
        <v>0.33583190979105648</v>
      </c>
      <c r="D29" s="13"/>
      <c r="E29" s="13"/>
      <c r="F29" s="3">
        <f t="shared" si="12"/>
        <v>0</v>
      </c>
      <c r="G29" s="2">
        <v>150</v>
      </c>
      <c r="H29" s="3">
        <v>50</v>
      </c>
      <c r="I29" s="2">
        <f t="shared" si="13"/>
        <v>1.7</v>
      </c>
      <c r="J29" s="2">
        <v>3</v>
      </c>
      <c r="K29" s="3">
        <f t="shared" si="3"/>
        <v>308.70231583330889</v>
      </c>
      <c r="L29" s="3">
        <f>30*coal_p</f>
        <v>900</v>
      </c>
      <c r="M29" s="3">
        <f>100*iron_p</f>
        <v>7000</v>
      </c>
      <c r="N29" s="3">
        <f>30*elec_p</f>
        <v>939.41216932282998</v>
      </c>
      <c r="O29" s="3">
        <f t="shared" si="10"/>
        <v>15027.000687848811</v>
      </c>
      <c r="Q29" s="2">
        <v>2000</v>
      </c>
      <c r="R29" s="2">
        <v>1500</v>
      </c>
      <c r="V29" s="2">
        <v>1000</v>
      </c>
      <c r="X29" s="2">
        <v>100</v>
      </c>
      <c r="Z29" s="2">
        <f t="shared" si="4"/>
        <v>1696.1538461538462</v>
      </c>
      <c r="AA29" s="3">
        <f t="shared" si="11"/>
        <v>17031.856849835967</v>
      </c>
    </row>
    <row r="30" spans="1:28" x14ac:dyDescent="0.35">
      <c r="A30" s="2" t="s">
        <v>38</v>
      </c>
      <c r="B30" s="22">
        <v>59.880039319101435</v>
      </c>
      <c r="C30" s="12">
        <f t="shared" si="9"/>
        <v>-1.9993446816427562E-3</v>
      </c>
      <c r="D30" s="13">
        <v>241000</v>
      </c>
      <c r="E30" s="13">
        <v>-5580</v>
      </c>
      <c r="F30" s="3">
        <f>(-D30*C30/0.75-E30)/G30/I30</f>
        <v>45.753353610548082</v>
      </c>
      <c r="G30" s="2">
        <v>80</v>
      </c>
      <c r="H30" s="3">
        <v>60</v>
      </c>
      <c r="I30" s="2">
        <f t="shared" si="13"/>
        <v>1.7</v>
      </c>
      <c r="J30" s="2">
        <v>3</v>
      </c>
      <c r="K30" s="3">
        <f t="shared" si="3"/>
        <v>308.70231583330889</v>
      </c>
      <c r="L30" s="3" cm="1">
        <f t="array" ref="L30">40*steel_p</f>
        <v>2671.6638195821129</v>
      </c>
      <c r="M30" s="3">
        <f>30*elec_p</f>
        <v>939.41216932282998</v>
      </c>
      <c r="N30" s="3"/>
      <c r="O30" s="3">
        <f t="shared" si="10"/>
        <v>6138.8291811384024</v>
      </c>
      <c r="Q30" s="2">
        <v>2000</v>
      </c>
      <c r="R30" s="2">
        <v>1500</v>
      </c>
      <c r="V30" s="2">
        <v>1000</v>
      </c>
      <c r="X30" s="2">
        <v>100</v>
      </c>
      <c r="Z30" s="2">
        <f t="shared" si="4"/>
        <v>1696.1538461538462</v>
      </c>
      <c r="AA30" s="3">
        <f t="shared" si="11"/>
        <v>8143.6853431255568</v>
      </c>
      <c r="AB30" s="3">
        <f>AA30/(G30*I30)</f>
        <v>59.880039287687914</v>
      </c>
    </row>
    <row r="31" spans="1:28" x14ac:dyDescent="0.35">
      <c r="A31" s="2" t="s">
        <v>34</v>
      </c>
      <c r="B31" s="3">
        <f t="shared" si="8"/>
        <v>31.313738977427665</v>
      </c>
      <c r="C31" s="12">
        <f t="shared" si="9"/>
        <v>4.3791299247588844E-2</v>
      </c>
      <c r="D31" s="13">
        <v>332000</v>
      </c>
      <c r="E31" s="13">
        <v>-45100</v>
      </c>
      <c r="F31" s="3">
        <f>(-D31*C31/0.75-E31)/G31/I31</f>
        <v>151.26500901804317</v>
      </c>
      <c r="G31" s="2">
        <v>100</v>
      </c>
      <c r="H31" s="3">
        <v>30</v>
      </c>
      <c r="I31" s="2">
        <f t="shared" si="13"/>
        <v>1.7</v>
      </c>
      <c r="J31" s="2">
        <v>3</v>
      </c>
      <c r="K31" s="3">
        <f t="shared" si="3"/>
        <v>308.70231583330889</v>
      </c>
      <c r="L31" s="3">
        <f>30*coal_p</f>
        <v>900</v>
      </c>
      <c r="M31" s="3">
        <f>15*motor_p</f>
        <v>898.2005897865215</v>
      </c>
      <c r="N31" s="3"/>
      <c r="O31" s="3">
        <f t="shared" si="10"/>
        <v>3056.9410026370865</v>
      </c>
      <c r="Q31" s="2">
        <v>2000</v>
      </c>
      <c r="R31" s="2">
        <v>1500</v>
      </c>
      <c r="V31" s="2">
        <v>1400</v>
      </c>
      <c r="X31" s="2">
        <v>100</v>
      </c>
      <c r="Z31" s="2">
        <f t="shared" si="4"/>
        <v>1957.6923076923076</v>
      </c>
      <c r="AA31" s="3">
        <f t="shared" si="11"/>
        <v>5323.3356261627032</v>
      </c>
    </row>
    <row r="32" spans="1:28" x14ac:dyDescent="0.35">
      <c r="A32" s="2" t="s">
        <v>54</v>
      </c>
      <c r="B32" s="3">
        <f t="shared" si="8"/>
        <v>98.000735302110698</v>
      </c>
      <c r="C32" s="3" t="s">
        <v>55</v>
      </c>
      <c r="G32" s="2">
        <v>30</v>
      </c>
      <c r="H32" s="3" t="s">
        <v>55</v>
      </c>
      <c r="I32" s="2">
        <v>1</v>
      </c>
      <c r="J32" s="2">
        <v>0</v>
      </c>
      <c r="K32" s="3">
        <f t="shared" si="3"/>
        <v>0</v>
      </c>
      <c r="L32" s="3">
        <f>15*motor_p</f>
        <v>898.2005897865215</v>
      </c>
      <c r="M32" s="3">
        <f>15*elec_p</f>
        <v>469.70608466141499</v>
      </c>
      <c r="N32" s="3"/>
      <c r="O32" s="3">
        <f t="shared" si="10"/>
        <v>1367.9066744479364</v>
      </c>
      <c r="Q32" s="2">
        <v>2000</v>
      </c>
      <c r="R32" s="2">
        <v>2000</v>
      </c>
      <c r="U32" s="2">
        <v>750</v>
      </c>
      <c r="X32" s="2">
        <v>250</v>
      </c>
      <c r="Z32" s="2">
        <f t="shared" si="4"/>
        <v>1572.1153846153845</v>
      </c>
      <c r="AA32" s="3">
        <f t="shared" si="11"/>
        <v>2940.0220590633207</v>
      </c>
    </row>
    <row r="33" spans="1:28" s="8" customFormat="1" ht="15" thickBot="1" x14ac:dyDescent="0.4">
      <c r="A33" s="8" t="s">
        <v>53</v>
      </c>
      <c r="B33" s="14">
        <f t="shared" ref="B33" si="14">AA33/(G33*I33)</f>
        <v>18.98718944412639</v>
      </c>
      <c r="C33" s="34">
        <f t="shared" ref="C33" si="15">B33/H33-1</f>
        <v>-0.367093685195787</v>
      </c>
      <c r="D33" s="39">
        <v>249000</v>
      </c>
      <c r="E33" s="39">
        <v>70300</v>
      </c>
      <c r="F33" s="3">
        <f>(-D33*C33/0.75-E33)/G33/I33</f>
        <v>1719.1701161667099</v>
      </c>
      <c r="G33" s="8">
        <v>30</v>
      </c>
      <c r="H33" s="14">
        <v>30</v>
      </c>
      <c r="I33" s="8">
        <v>1</v>
      </c>
      <c r="J33" s="8">
        <v>5</v>
      </c>
      <c r="K33" s="14">
        <f t="shared" si="3"/>
        <v>514.50385972218146</v>
      </c>
      <c r="L33" s="14">
        <f>5*steel_p</f>
        <v>333.95797744776411</v>
      </c>
      <c r="M33" s="14"/>
      <c r="N33" s="14"/>
      <c r="O33" s="14">
        <f t="shared" si="10"/>
        <v>333.95797744776411</v>
      </c>
      <c r="R33" s="8">
        <v>-500</v>
      </c>
      <c r="U33" s="8">
        <v>-500</v>
      </c>
      <c r="Z33" s="8">
        <f t="shared" si="4"/>
        <v>-278.84615384615387</v>
      </c>
      <c r="AA33" s="14">
        <f t="shared" ref="AA33" si="16">K33+O33+Z33</f>
        <v>569.6156833237917</v>
      </c>
      <c r="AB33" s="14"/>
    </row>
    <row r="34" spans="1:28" s="10" customFormat="1" ht="15" thickTop="1" x14ac:dyDescent="0.35">
      <c r="A34" s="10" t="s">
        <v>24</v>
      </c>
      <c r="B34" s="15">
        <f t="shared" si="8"/>
        <v>30.569500386643657</v>
      </c>
      <c r="C34" s="36">
        <f t="shared" si="9"/>
        <v>1.8983346221455255E-2</v>
      </c>
      <c r="D34" s="40">
        <v>273000</v>
      </c>
      <c r="E34" s="40">
        <v>13200</v>
      </c>
      <c r="F34" s="3">
        <f t="shared" ref="F34:F37" si="17">(-D34*C34/0.75-E34)/G34/I34</f>
        <v>-206.34291905995477</v>
      </c>
      <c r="G34" s="15">
        <f>N43</f>
        <v>57.328719407894098</v>
      </c>
      <c r="H34" s="15">
        <v>30</v>
      </c>
      <c r="I34" s="10">
        <f t="shared" ref="I34:I37" si="18">1.5+$I$24</f>
        <v>1.7</v>
      </c>
      <c r="J34" s="10">
        <v>2</v>
      </c>
      <c r="K34" s="15">
        <f t="shared" si="3"/>
        <v>205.80154388887257</v>
      </c>
      <c r="L34" s="15">
        <f>L43*B11</f>
        <v>867.67971367016992</v>
      </c>
      <c r="M34" s="15">
        <f>M43*B20</f>
        <v>108.96442915911337</v>
      </c>
      <c r="N34" s="15"/>
      <c r="O34" s="15">
        <f t="shared" si="10"/>
        <v>1660.2950428097815</v>
      </c>
      <c r="Q34" s="15">
        <f>Q43</f>
        <v>4335.6128297663799</v>
      </c>
      <c r="R34" s="15">
        <f>P43</f>
        <v>123.28756861967921</v>
      </c>
      <c r="V34" s="15">
        <f>O43</f>
        <v>41.095856206559738</v>
      </c>
      <c r="X34" s="10">
        <v>100</v>
      </c>
      <c r="Z34" s="10">
        <f t="shared" si="4"/>
        <v>1113.1709404805338</v>
      </c>
      <c r="AA34" s="15">
        <f t="shared" si="11"/>
        <v>2979.2675271791877</v>
      </c>
      <c r="AB34" s="15"/>
    </row>
    <row r="35" spans="1:28" x14ac:dyDescent="0.35">
      <c r="A35" s="2" t="s">
        <v>26</v>
      </c>
      <c r="B35" s="3">
        <f t="shared" si="8"/>
        <v>42.788919711061254</v>
      </c>
      <c r="C35" s="12">
        <f t="shared" si="9"/>
        <v>-0.28685133814897912</v>
      </c>
      <c r="D35" s="13">
        <v>266000</v>
      </c>
      <c r="E35" s="13">
        <v>24600</v>
      </c>
      <c r="F35" s="3">
        <f t="shared" si="17"/>
        <v>1134.361881326048</v>
      </c>
      <c r="G35" s="2">
        <v>40</v>
      </c>
      <c r="H35" s="3">
        <f>(40*H39+20*H40)/40</f>
        <v>60</v>
      </c>
      <c r="I35" s="2">
        <f t="shared" si="18"/>
        <v>1.7</v>
      </c>
      <c r="J35" s="2">
        <v>2</v>
      </c>
      <c r="K35" s="3">
        <f t="shared" si="3"/>
        <v>205.80154388887257</v>
      </c>
      <c r="L35" s="3">
        <f>30*B15</f>
        <v>327.08724691129919</v>
      </c>
      <c r="M35" s="3">
        <f>5*B16</f>
        <v>225</v>
      </c>
      <c r="N35" s="3">
        <f>10*B22</f>
        <v>272.57270575941595</v>
      </c>
      <c r="O35" s="3">
        <f t="shared" si="10"/>
        <v>1401.9219195402156</v>
      </c>
      <c r="Q35" s="2">
        <v>4000</v>
      </c>
      <c r="R35" s="2">
        <v>500</v>
      </c>
      <c r="W35" s="2">
        <v>500</v>
      </c>
      <c r="X35" s="2">
        <v>100</v>
      </c>
      <c r="Z35" s="2">
        <f t="shared" si="4"/>
        <v>1301.9230769230769</v>
      </c>
      <c r="AA35" s="3">
        <f t="shared" si="11"/>
        <v>2909.6465403521652</v>
      </c>
    </row>
    <row r="36" spans="1:28" x14ac:dyDescent="0.35">
      <c r="A36" s="2" t="s">
        <v>27</v>
      </c>
      <c r="B36" s="3">
        <f t="shared" si="8"/>
        <v>30.687320423317889</v>
      </c>
      <c r="C36" s="12">
        <f t="shared" si="9"/>
        <v>2.2910680777262993E-2</v>
      </c>
      <c r="D36" s="13">
        <v>188000</v>
      </c>
      <c r="E36" s="13">
        <v>-2740</v>
      </c>
      <c r="F36" s="3">
        <f t="shared" si="17"/>
        <v>-16.058523965243797</v>
      </c>
      <c r="G36" s="2">
        <v>110</v>
      </c>
      <c r="H36" s="3">
        <v>30</v>
      </c>
      <c r="I36" s="2">
        <f t="shared" si="18"/>
        <v>1.7</v>
      </c>
      <c r="J36" s="2">
        <v>2</v>
      </c>
      <c r="K36" s="3">
        <f t="shared" si="3"/>
        <v>205.80154388887257</v>
      </c>
      <c r="L36" s="3">
        <f>10*tool_p</f>
        <v>417.57525609127646</v>
      </c>
      <c r="M36" s="3">
        <f>10*B15</f>
        <v>109.02908230376639</v>
      </c>
      <c r="N36" s="3">
        <f>50*wood_p</f>
        <v>1750</v>
      </c>
      <c r="O36" s="3">
        <f t="shared" si="10"/>
        <v>3870.2273752715728</v>
      </c>
      <c r="Q36" s="2">
        <v>3000</v>
      </c>
      <c r="R36" s="2">
        <v>1250</v>
      </c>
      <c r="V36" s="2">
        <v>750</v>
      </c>
      <c r="X36" s="2">
        <v>100</v>
      </c>
      <c r="Z36" s="2">
        <f t="shared" si="4"/>
        <v>1662.5</v>
      </c>
      <c r="AA36" s="3">
        <f t="shared" si="11"/>
        <v>5738.5289191604452</v>
      </c>
    </row>
    <row r="37" spans="1:28" x14ac:dyDescent="0.35">
      <c r="A37" s="2" t="s">
        <v>33</v>
      </c>
      <c r="B37" s="3">
        <f t="shared" si="8"/>
        <v>242.09564214303339</v>
      </c>
      <c r="C37" s="12">
        <f t="shared" si="9"/>
        <v>0.21047821071516704</v>
      </c>
      <c r="D37" s="13">
        <v>13700</v>
      </c>
      <c r="E37" s="13">
        <v>-934</v>
      </c>
      <c r="F37" s="3">
        <f t="shared" si="17"/>
        <v>-570.73241484909511</v>
      </c>
      <c r="G37" s="2">
        <v>3</v>
      </c>
      <c r="H37" s="3">
        <v>200</v>
      </c>
      <c r="I37" s="2">
        <f t="shared" si="18"/>
        <v>1.7</v>
      </c>
      <c r="J37" s="2">
        <v>2</v>
      </c>
      <c r="K37" s="3">
        <f t="shared" si="3"/>
        <v>205.80154388887257</v>
      </c>
      <c r="L37" s="3">
        <f>5*B27</f>
        <v>152.73850694695778</v>
      </c>
      <c r="M37" s="3"/>
      <c r="N37" s="3"/>
      <c r="O37" s="3">
        <f t="shared" si="10"/>
        <v>259.65546180982824</v>
      </c>
      <c r="Y37" s="2">
        <v>1000</v>
      </c>
      <c r="Z37" s="2">
        <f t="shared" si="4"/>
        <v>769.23076923076928</v>
      </c>
      <c r="AA37" s="3">
        <f t="shared" si="11"/>
        <v>1234.6877749294702</v>
      </c>
    </row>
    <row r="38" spans="1:28" ht="15" thickBot="1" x14ac:dyDescent="0.4">
      <c r="H38" s="3"/>
      <c r="J38" s="8"/>
      <c r="K38" s="8"/>
      <c r="L38" s="8"/>
      <c r="M38" s="8"/>
      <c r="N38" s="8"/>
      <c r="O38" s="8"/>
      <c r="P38" s="8"/>
      <c r="Q38" s="8"/>
    </row>
    <row r="39" spans="1:28" ht="15" thickTop="1" x14ac:dyDescent="0.35">
      <c r="A39" s="2" t="s">
        <v>35</v>
      </c>
      <c r="B39" s="3">
        <f>H39*(C39+1)</f>
        <v>21.394459855530627</v>
      </c>
      <c r="C39" s="12">
        <f>$C$35</f>
        <v>-0.28685133814897912</v>
      </c>
      <c r="H39" s="3">
        <v>30</v>
      </c>
      <c r="I39" s="24"/>
      <c r="J39" s="43" t="s">
        <v>58</v>
      </c>
      <c r="K39" s="44"/>
      <c r="L39" s="44"/>
      <c r="M39" s="44"/>
      <c r="N39" s="44"/>
      <c r="O39" s="44"/>
      <c r="P39" s="44"/>
      <c r="Q39" s="45"/>
      <c r="R39" s="25"/>
    </row>
    <row r="40" spans="1:28" x14ac:dyDescent="0.35">
      <c r="A40" s="2" t="s">
        <v>36</v>
      </c>
      <c r="B40" s="3">
        <f>H40*(C40+1)</f>
        <v>42.788919711061254</v>
      </c>
      <c r="C40" s="12">
        <f>$C$35</f>
        <v>-0.28685133814897912</v>
      </c>
      <c r="H40" s="3">
        <v>60</v>
      </c>
      <c r="I40" s="24"/>
      <c r="J40" s="27" t="s">
        <v>63</v>
      </c>
      <c r="L40" s="2" t="s">
        <v>60</v>
      </c>
      <c r="M40" s="2" t="s">
        <v>61</v>
      </c>
      <c r="N40" s="2" t="s">
        <v>24</v>
      </c>
      <c r="O40" s="2" t="s">
        <v>19</v>
      </c>
      <c r="P40" s="2" t="s">
        <v>16</v>
      </c>
      <c r="Q40" s="28" t="s">
        <v>15</v>
      </c>
      <c r="R40" s="25"/>
    </row>
    <row r="41" spans="1:28" x14ac:dyDescent="0.35">
      <c r="A41" s="2" t="s">
        <v>46</v>
      </c>
      <c r="B41" s="3">
        <f>H41*(C41+1)</f>
        <v>33.607891290757188</v>
      </c>
      <c r="C41" s="12">
        <f>$C$28</f>
        <v>0.1202630430252396</v>
      </c>
      <c r="H41" s="2">
        <v>30</v>
      </c>
      <c r="I41" s="24"/>
      <c r="J41" s="27">
        <v>0.83561574286100959</v>
      </c>
      <c r="K41" s="2" t="s">
        <v>59</v>
      </c>
      <c r="L41" s="3">
        <v>40</v>
      </c>
      <c r="M41" s="3"/>
      <c r="N41" s="3">
        <v>45</v>
      </c>
      <c r="O41" s="3">
        <v>0</v>
      </c>
      <c r="P41" s="3">
        <v>0</v>
      </c>
      <c r="Q41" s="29">
        <v>4500</v>
      </c>
      <c r="R41" s="25"/>
    </row>
    <row r="42" spans="1:28" x14ac:dyDescent="0.35">
      <c r="A42" s="2" t="s">
        <v>47</v>
      </c>
      <c r="B42" s="3">
        <f>H42*(C42+1)</f>
        <v>56.013152151261977</v>
      </c>
      <c r="C42" s="12">
        <f>$C$28</f>
        <v>0.1202630430252396</v>
      </c>
      <c r="H42" s="2">
        <v>50</v>
      </c>
      <c r="I42" s="24"/>
      <c r="J42" s="27">
        <v>0.16438342482623894</v>
      </c>
      <c r="K42" s="2" t="s">
        <v>62</v>
      </c>
      <c r="L42" s="3">
        <v>80</v>
      </c>
      <c r="M42" s="3">
        <v>30</v>
      </c>
      <c r="N42" s="3">
        <v>120</v>
      </c>
      <c r="O42" s="3">
        <v>250</v>
      </c>
      <c r="P42" s="3">
        <v>750</v>
      </c>
      <c r="Q42" s="29">
        <v>3500</v>
      </c>
      <c r="R42" s="25"/>
    </row>
    <row r="43" spans="1:28" x14ac:dyDescent="0.35">
      <c r="I43" s="24"/>
      <c r="J43" s="27">
        <f>SUM(J41:J42)</f>
        <v>0.9999991676872485</v>
      </c>
      <c r="K43" s="2" t="s">
        <v>68</v>
      </c>
      <c r="L43" s="3">
        <f t="shared" ref="L43:Q43" si="19">L41*$J$41+L42*$J$42</f>
        <v>46.5753037005395</v>
      </c>
      <c r="M43" s="3">
        <f t="shared" si="19"/>
        <v>4.931502744787168</v>
      </c>
      <c r="N43" s="3">
        <f t="shared" si="19"/>
        <v>57.328719407894098</v>
      </c>
      <c r="O43" s="3">
        <f t="shared" si="19"/>
        <v>41.095856206559738</v>
      </c>
      <c r="P43" s="3">
        <f t="shared" si="19"/>
        <v>123.28756861967921</v>
      </c>
      <c r="Q43" s="29">
        <f t="shared" si="19"/>
        <v>4335.6128297663799</v>
      </c>
      <c r="R43" s="25"/>
    </row>
    <row r="44" spans="1:28" x14ac:dyDescent="0.35">
      <c r="A44" s="2" t="s">
        <v>49</v>
      </c>
      <c r="B44" s="13">
        <v>30</v>
      </c>
      <c r="I44" s="24"/>
      <c r="J44" s="27"/>
      <c r="K44" s="2" t="s">
        <v>66</v>
      </c>
      <c r="L44" s="3">
        <v>85</v>
      </c>
      <c r="M44" s="3">
        <v>9</v>
      </c>
      <c r="N44" s="3"/>
      <c r="O44" s="3"/>
      <c r="P44" s="3"/>
      <c r="Q44" s="29"/>
      <c r="R44" s="25"/>
    </row>
    <row r="45" spans="1:28" x14ac:dyDescent="0.35">
      <c r="A45" s="2" t="s">
        <v>50</v>
      </c>
      <c r="B45" s="13">
        <v>70</v>
      </c>
      <c r="I45" s="24"/>
      <c r="J45" s="27"/>
      <c r="Q45" s="28"/>
      <c r="R45" s="25"/>
    </row>
    <row r="46" spans="1:28" x14ac:dyDescent="0.35">
      <c r="A46" s="2" t="s">
        <v>51</v>
      </c>
      <c r="B46" s="13">
        <v>60</v>
      </c>
      <c r="I46" s="24"/>
      <c r="J46" s="27" t="s">
        <v>65</v>
      </c>
      <c r="K46" s="23">
        <f>(J43-1)^2</f>
        <v>6.9274451630539343E-13</v>
      </c>
      <c r="L46" s="23">
        <f>(L43*M44-M43*L44)^2</f>
        <v>4.2179002490412982E-18</v>
      </c>
      <c r="Q46" s="28"/>
      <c r="R46" s="25"/>
    </row>
    <row r="47" spans="1:28" ht="15" thickBot="1" x14ac:dyDescent="0.4">
      <c r="A47" s="2" t="s">
        <v>52</v>
      </c>
      <c r="B47" s="13">
        <v>35</v>
      </c>
      <c r="I47" s="24"/>
      <c r="J47" s="30" t="s">
        <v>67</v>
      </c>
      <c r="K47" s="31">
        <f>SUM(K46:L46)</f>
        <v>6.9274873420564247E-13</v>
      </c>
      <c r="L47" s="31"/>
      <c r="M47" s="32"/>
      <c r="N47" s="32"/>
      <c r="O47" s="32"/>
      <c r="P47" s="32"/>
      <c r="Q47" s="33"/>
      <c r="R47" s="25"/>
    </row>
    <row r="48" spans="1:28" ht="15" thickTop="1" x14ac:dyDescent="0.35">
      <c r="J48" s="26"/>
      <c r="K48" s="26"/>
      <c r="L48" s="26"/>
      <c r="M48" s="26"/>
      <c r="N48" s="26"/>
      <c r="O48" s="26"/>
      <c r="P48" s="26"/>
      <c r="Q48" s="26"/>
    </row>
  </sheetData>
  <mergeCells count="3">
    <mergeCell ref="I7:J7"/>
    <mergeCell ref="J39:Q39"/>
    <mergeCell ref="N7:O7"/>
  </mergeCells>
  <pageMargins left="0.7" right="0.7" top="0.75" bottom="0.75" header="0.3" footer="0.3"/>
  <pageSetup paperSize="9" orientation="portrait" r:id="rId1"/>
  <ignoredErrors>
    <ignoredError sqref="L30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main</vt:lpstr>
      <vt:lpstr>coal_p</vt:lpstr>
      <vt:lpstr>elec_p</vt:lpstr>
      <vt:lpstr>infra_p</vt:lpstr>
      <vt:lpstr>iron_p</vt:lpstr>
      <vt:lpstr>motor_p</vt:lpstr>
      <vt:lpstr>steel_p</vt:lpstr>
      <vt:lpstr>sulfur_p</vt:lpstr>
      <vt:lpstr>tool_p</vt:lpstr>
      <vt:lpstr>trans_p</vt:lpstr>
      <vt:lpstr>wood_p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Nanfeng Qin</dc:creator>
  <cp:lastModifiedBy>Nanfeng Qin</cp:lastModifiedBy>
  <dcterms:created xsi:type="dcterms:W3CDTF">2015-06-05T18:17:20Z</dcterms:created>
  <dcterms:modified xsi:type="dcterms:W3CDTF">2022-12-20T08:20:07Z</dcterms:modified>
</cp:coreProperties>
</file>